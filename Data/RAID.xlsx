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rojets\pmo-transformation-bancaire\Data\"/>
    </mc:Choice>
  </mc:AlternateContent>
  <xr:revisionPtr revIDLastSave="0" documentId="13_ncr:1_{A2100DC6-2CB4-4220-A5E6-8C02BC2364CE}" xr6:coauthVersionLast="36" xr6:coauthVersionMax="36" xr10:uidLastSave="{00000000-0000-0000-0000-000000000000}"/>
  <bookViews>
    <workbookView xWindow="0" yWindow="0" windowWidth="19200" windowHeight="6444" xr2:uid="{7495B240-DD13-4997-BAD2-25D28DA71A0D}"/>
  </bookViews>
  <sheets>
    <sheet name="RAID" sheetId="2" r:id="rId1"/>
    <sheet name="Feuil1" sheetId="1" r:id="rId2"/>
    <sheet name="Matrice_Criticite" sheetId="3" r:id="rId3"/>
  </sheets>
  <externalReferences>
    <externalReference r:id="rId4"/>
  </externalReferences>
  <definedNames>
    <definedName name="_xlnm._FilterDatabase" localSheetId="0" hidden="1">RAID!$B$14:$R$112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12" i="2" l="1"/>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28" i="2"/>
  <c r="J27" i="2"/>
  <c r="J26" i="2"/>
  <c r="J25" i="2"/>
  <c r="J24" i="2"/>
  <c r="J23" i="2"/>
  <c r="J22" i="2"/>
  <c r="J21" i="2"/>
  <c r="J20" i="2"/>
  <c r="J19" i="2"/>
  <c r="J18" i="2"/>
  <c r="J17" i="2"/>
  <c r="J16" i="2"/>
  <c r="J15" i="2"/>
  <c r="F11" i="2"/>
  <c r="I10" i="2"/>
  <c r="F10" i="2"/>
  <c r="I9" i="2"/>
  <c r="F9" i="2"/>
  <c r="I8" i="2"/>
  <c r="F8" i="2"/>
  <c r="B8" i="2"/>
  <c r="C8" i="2" s="1"/>
  <c r="I7" i="2"/>
  <c r="F7" i="2"/>
  <c r="B7" i="2"/>
  <c r="C7" i="2" s="1"/>
  <c r="I6" i="2"/>
  <c r="F6" i="2"/>
  <c r="B6" i="2"/>
  <c r="C6" i="2" s="1"/>
  <c r="I5" i="2"/>
  <c r="F5" i="2"/>
  <c r="B5" i="2"/>
  <c r="C5" i="2" s="1"/>
  <c r="B9" i="2" l="1"/>
</calcChain>
</file>

<file path=xl/sharedStrings.xml><?xml version="1.0" encoding="utf-8"?>
<sst xmlns="http://schemas.openxmlformats.org/spreadsheetml/2006/main" count="262" uniqueCount="168">
  <si>
    <t>Tableau de Bord</t>
  </si>
  <si>
    <t>Répartition des risques par criticité</t>
  </si>
  <si>
    <t>Répartition des risques par catégorie</t>
  </si>
  <si>
    <t>Répartition des risques par statut</t>
  </si>
  <si>
    <t>Criticité</t>
  </si>
  <si>
    <t>Nombre</t>
  </si>
  <si>
    <t>Pourcentage</t>
  </si>
  <si>
    <t>Catégorie</t>
  </si>
  <si>
    <t>Statut</t>
  </si>
  <si>
    <t>CRITIQUE</t>
  </si>
  <si>
    <t>Opérationnel</t>
  </si>
  <si>
    <t>En mitigation</t>
  </si>
  <si>
    <t>MAJEUR</t>
  </si>
  <si>
    <t>Technique</t>
  </si>
  <si>
    <t>Surveillé</t>
  </si>
  <si>
    <t>MODÉRÉ</t>
  </si>
  <si>
    <t>Planning</t>
  </si>
  <si>
    <t>Planifié</t>
  </si>
  <si>
    <t>MINEUR</t>
  </si>
  <si>
    <t>Fournisseur</t>
  </si>
  <si>
    <t>Ouvert</t>
  </si>
  <si>
    <t>TOTAL</t>
  </si>
  <si>
    <t>Ressources</t>
  </si>
  <si>
    <t>Clos</t>
  </si>
  <si>
    <t>Budget</t>
  </si>
  <si>
    <t>Matérialisé</t>
  </si>
  <si>
    <t>Stratégique</t>
  </si>
  <si>
    <t>A automatiser</t>
  </si>
  <si>
    <t>ID</t>
  </si>
  <si>
    <t>Intitulé</t>
  </si>
  <si>
    <t xml:space="preserve">Description </t>
  </si>
  <si>
    <t>Probabilité</t>
  </si>
  <si>
    <t>Impact</t>
  </si>
  <si>
    <t>Score</t>
  </si>
  <si>
    <t>Stratégie</t>
  </si>
  <si>
    <t>Mitigation</t>
  </si>
  <si>
    <t>Responsable</t>
  </si>
  <si>
    <t>Date_Ident.</t>
  </si>
  <si>
    <t>Date_Rev.</t>
  </si>
  <si>
    <t>Commentaires</t>
  </si>
  <si>
    <t>Action</t>
  </si>
  <si>
    <t>Onboarding</t>
  </si>
  <si>
    <t>Partage de la date des comités (j'ai déjà noté CTP le 26/02, conseil semaine du 23/03 (conseil), quels sont les autres, quelles sont vos attentes par rapport à Deloitte : présence, préparation, … ?)</t>
  </si>
  <si>
    <t>Programme Office</t>
  </si>
  <si>
    <t>Larbi Hmimou</t>
  </si>
  <si>
    <t>Partage la liste des RMD et de la fiche de poste</t>
  </si>
  <si>
    <t>Partager le retour de Marc Beaujean sur les KPI et le RACI</t>
  </si>
  <si>
    <t>Principes directeurs Architecture</t>
  </si>
  <si>
    <t>Livraison d’une synthèse des standards et principes directeurs architecture à respecter</t>
  </si>
  <si>
    <t>Mossaab El Youssefi</t>
  </si>
  <si>
    <t>Définition des KPI de suivi</t>
  </si>
  <si>
    <t>Proposition simplifiée des KPI cible de suivi du programme (Temporalité par phase d’activation des KPI..) 
Définir les métriques des KPI
Validation de la faisabilité technique avec EAI dans l’outil cible de pilotage  Placer atelier avec Larbi semaine du 16/02
Définir un Dashboard théorique des KPIs pour le CTP</t>
  </si>
  <si>
    <t>Majeur</t>
  </si>
  <si>
    <t>Program Office / EAI</t>
  </si>
  <si>
    <t>Roadbook Chantier : Opérationnalisation du programme Office</t>
  </si>
  <si>
    <t>Mise à disposition des équipes chantiers du Roadbook chantier (Framework méthodologique, canevas, KPI…)</t>
  </si>
  <si>
    <t>Pilotage All</t>
  </si>
  <si>
    <t>Livraison du PMO Starter Kit</t>
  </si>
  <si>
    <t xml:space="preserve">PMO Starter Kit (Red log, sharepoint avec les répertoires, red log équipe interne DTT, Template pour le weekly avancement mission, Orga interne Program Office au quotidien, réunion outils , Membres,  rôles …) </t>
  </si>
  <si>
    <t>Julien Boeur</t>
  </si>
  <si>
    <t>Canevas</t>
  </si>
  <si>
    <t>Initiation de la préparation des canevas de cadrage
Template support programme
Canevas comités 
Canevas Agenda, CR
Canevas Fiche projet  (PID/Charte de projet-descriptif projet, schéma, 8-jalons ) (5, 6 pages..)</t>
  </si>
  <si>
    <t>Canevas dossiers d’architecture</t>
  </si>
  <si>
    <t>Livraison des canevas des documents à utiliser pour les dossiers d’architecture</t>
  </si>
  <si>
    <t>Nomination DC</t>
  </si>
  <si>
    <t>Nomination des directeurs de chantiers avant prochain CTR</t>
  </si>
  <si>
    <t>Planning Chantiers</t>
  </si>
  <si>
    <t>Partager les jalons à jour pour les chantiers en cours</t>
  </si>
  <si>
    <t>Vue conceptuelle des 6 principales Briques/Chantiers</t>
  </si>
  <si>
    <t xml:space="preserve">Livraison d’une vue conceptuelle d’imbrication des 6 principales briques du nouveau SI (MDM, CRM, CBS, Plateforme intégration, IAM/IGA, Hub de paiement)   </t>
  </si>
  <si>
    <t>Orga Kick Off</t>
  </si>
  <si>
    <t xml:space="preserve">Organisation du Kick Off pour le lancement officiel du programme </t>
  </si>
  <si>
    <t>Comité Portefeuille projets</t>
  </si>
  <si>
    <t>Activation du comité de gestion de portefeuille projets avec focus sur le PA26</t>
  </si>
  <si>
    <t>Domaine</t>
  </si>
  <si>
    <t>Type</t>
  </si>
  <si>
    <t>Instance</t>
  </si>
  <si>
    <t>Statut risque</t>
  </si>
  <si>
    <t>Statut action</t>
  </si>
  <si>
    <t>Statut Comités</t>
  </si>
  <si>
    <t xml:space="preserve">Agence </t>
  </si>
  <si>
    <t>Risque</t>
  </si>
  <si>
    <t>Comité Technologique Plénier (CTP)</t>
  </si>
  <si>
    <t>A lancer</t>
  </si>
  <si>
    <t>A planifier</t>
  </si>
  <si>
    <t>Éviter</t>
  </si>
  <si>
    <t>Négligeable</t>
  </si>
  <si>
    <t>Quasi-certain</t>
  </si>
  <si>
    <t>Monétique</t>
  </si>
  <si>
    <t>Comité Technologique restreint (CTR)</t>
  </si>
  <si>
    <t>En cours</t>
  </si>
  <si>
    <t>Transférer</t>
  </si>
  <si>
    <t>Mineur</t>
  </si>
  <si>
    <t>Probable</t>
  </si>
  <si>
    <t>Chèques &amp; LCN</t>
  </si>
  <si>
    <t>Information</t>
  </si>
  <si>
    <t>Comité Assurance Qualité</t>
  </si>
  <si>
    <t>Clôturé</t>
  </si>
  <si>
    <t>Tenu</t>
  </si>
  <si>
    <t>Atténuer</t>
  </si>
  <si>
    <t>Modéré</t>
  </si>
  <si>
    <t>Possible</t>
  </si>
  <si>
    <t>Virements domestiques &amp; prélèvements</t>
  </si>
  <si>
    <t>Décision</t>
  </si>
  <si>
    <t>Comité Programme</t>
  </si>
  <si>
    <t>Abandonné</t>
  </si>
  <si>
    <t>Reporté</t>
  </si>
  <si>
    <t>Accepter</t>
  </si>
  <si>
    <t>Peu probable</t>
  </si>
  <si>
    <t>Référentiel &amp; TDC</t>
  </si>
  <si>
    <t>Comité Gestion Portefeuille Projets</t>
  </si>
  <si>
    <t>Stand-By</t>
  </si>
  <si>
    <t>Annulé</t>
  </si>
  <si>
    <t>Critique</t>
  </si>
  <si>
    <t>Rare</t>
  </si>
  <si>
    <t>Produits et tarification</t>
  </si>
  <si>
    <t>Comité Pilotage Partenaires</t>
  </si>
  <si>
    <t>NA</t>
  </si>
  <si>
    <t>En Cours</t>
  </si>
  <si>
    <t>Bancassurance</t>
  </si>
  <si>
    <t>Comité Archi Renforcé</t>
  </si>
  <si>
    <t>Doublon</t>
  </si>
  <si>
    <t>Transferts internationaux &amp; dotations</t>
  </si>
  <si>
    <t>Comité Chantier</t>
  </si>
  <si>
    <t>Engagement</t>
  </si>
  <si>
    <t>Réunion PO</t>
  </si>
  <si>
    <t>Crédit</t>
  </si>
  <si>
    <t>Kick-off</t>
  </si>
  <si>
    <t>Migration</t>
  </si>
  <si>
    <t>Conseil</t>
  </si>
  <si>
    <t>Infrastructure</t>
  </si>
  <si>
    <t>BSS</t>
  </si>
  <si>
    <t>Architecture et sécurité</t>
  </si>
  <si>
    <t>Interfaces</t>
  </si>
  <si>
    <t>Comptabilité</t>
  </si>
  <si>
    <t>Reengineering</t>
  </si>
  <si>
    <t>Recette</t>
  </si>
  <si>
    <t xml:space="preserve">Editique </t>
  </si>
  <si>
    <t>Habilitations</t>
  </si>
  <si>
    <t>Exploitation</t>
  </si>
  <si>
    <t>Plan de bascule</t>
  </si>
  <si>
    <t>Change</t>
  </si>
  <si>
    <t>Plan de déploiement</t>
  </si>
  <si>
    <t>Processus</t>
  </si>
  <si>
    <t>Pilotage</t>
  </si>
  <si>
    <t>GED / Archivage</t>
  </si>
  <si>
    <t>Poste de travail</t>
  </si>
  <si>
    <t>Centre de Services T24</t>
  </si>
  <si>
    <t>Ressources métier</t>
  </si>
  <si>
    <t>Divers</t>
  </si>
  <si>
    <t>RG</t>
  </si>
  <si>
    <t>MATRICE DE CRITICITÉ - PROBABILITÉ x IMPACT</t>
  </si>
  <si>
    <t>Probabilité/Impact</t>
  </si>
  <si>
    <t>5</t>
  </si>
  <si>
    <t>10</t>
  </si>
  <si>
    <t>15</t>
  </si>
  <si>
    <t>20</t>
  </si>
  <si>
    <t>25</t>
  </si>
  <si>
    <t>4</t>
  </si>
  <si>
    <t>8</t>
  </si>
  <si>
    <t>12</t>
  </si>
  <si>
    <t>16</t>
  </si>
  <si>
    <t>3</t>
  </si>
  <si>
    <t>6</t>
  </si>
  <si>
    <t>9</t>
  </si>
  <si>
    <t>2</t>
  </si>
  <si>
    <t>1</t>
  </si>
  <si>
    <t>Chantier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</si>
</sst>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20"/>
      <color rgb="FFFFFFFF"/>
      <name val="Calibri"/>
      <family val="2"/>
      <scheme val="minor"/>
    </font>
    <font>
      <b/>
      <sz val="11"/>
      <color rgb="FFFFFFFF"/>
      <name val="Calibri"/>
      <family val="2"/>
      <scheme val="minor"/>
    </font>
    <font>
      <b/>
      <sz val="11"/>
      <name val="Calibri"/>
      <family val="2"/>
      <scheme val="minor"/>
    </font>
    <font>
      <sz val="11"/>
      <color rgb="FFFFFFFF"/>
      <name val="Calibri"/>
      <family val="2"/>
      <scheme val="minor"/>
    </font>
    <font>
      <b/>
      <sz val="10"/>
      <color rgb="FFFFFFFF"/>
      <name val="Cambria"/>
      <family val="1"/>
    </font>
    <font>
      <sz val="11"/>
      <name val="Calibri"/>
      <family val="2"/>
      <scheme val="minor"/>
    </font>
    <font>
      <sz val="11"/>
      <color rgb="FF000000"/>
      <name val="Calibri"/>
      <family val="2"/>
    </font>
    <font>
      <sz val="12"/>
      <color rgb="FF000000"/>
      <name val="Calibri"/>
      <family val="2"/>
    </font>
    <font>
      <sz val="11"/>
      <color theme="1"/>
      <name val="Calibri"/>
      <family val="2"/>
      <charset val="1"/>
    </font>
    <font>
      <b/>
      <sz val="14"/>
      <color rgb="FF1F4E79"/>
      <name val="Cambria"/>
      <family val="1"/>
    </font>
    <font>
      <b/>
      <sz val="11"/>
      <color rgb="FF1F4E79"/>
      <name val="Cambria"/>
      <family val="1"/>
    </font>
    <font>
      <b/>
      <sz val="11"/>
      <color rgb="FFFFFFFF"/>
      <name val="Cambria"/>
      <family val="1"/>
    </font>
    <font>
      <b/>
      <sz val="11"/>
      <color rgb="FF000000"/>
      <name val="Cambria"/>
      <family val="1"/>
    </font>
  </fonts>
  <fills count="9">
    <fill>
      <patternFill patternType="none"/>
    </fill>
    <fill>
      <patternFill patternType="gray125"/>
    </fill>
    <fill>
      <patternFill patternType="solid">
        <fgColor rgb="FF1F4E79"/>
        <bgColor rgb="FF003366"/>
      </patternFill>
    </fill>
    <fill>
      <patternFill patternType="solid">
        <fgColor rgb="FFC00000"/>
        <bgColor rgb="FF9C0006"/>
      </patternFill>
    </fill>
    <fill>
      <patternFill patternType="solid">
        <fgColor rgb="FFED7D31"/>
        <bgColor rgb="FFFF8080"/>
      </patternFill>
    </fill>
    <fill>
      <patternFill patternType="solid">
        <fgColor rgb="FFFFC000"/>
        <bgColor rgb="FFFF9900"/>
      </patternFill>
    </fill>
    <fill>
      <patternFill patternType="solid">
        <fgColor rgb="FF92D050"/>
        <bgColor rgb="FF969696"/>
      </patternFill>
    </fill>
    <fill>
      <patternFill patternType="solid">
        <fgColor theme="8" tint="0.79998168889431442"/>
        <bgColor indexed="64"/>
      </patternFill>
    </fill>
    <fill>
      <patternFill patternType="solid">
        <fgColor rgb="FF00B050"/>
        <bgColor rgb="FF008080"/>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theme="0" tint="-0.14996795556505021"/>
      </top>
      <bottom style="thin">
        <color theme="0" tint="-0.14996795556505021"/>
      </bottom>
      <diagonal/>
    </border>
    <border>
      <left/>
      <right/>
      <top style="thin">
        <color theme="0" tint="-0.14996795556505021"/>
      </top>
      <bottom/>
      <diagonal/>
    </border>
  </borders>
  <cellStyleXfs count="2">
    <xf numFmtId="0" fontId="0" fillId="0" borderId="0"/>
    <xf numFmtId="0" fontId="9" fillId="0" borderId="0"/>
  </cellStyleXfs>
  <cellXfs count="59">
    <xf numFmtId="0" fontId="0" fillId="0" borderId="0" xfId="0"/>
    <xf numFmtId="0" fontId="1" fillId="2" borderId="0" xfId="0" applyFont="1" applyFill="1" applyAlignment="1">
      <alignment horizontal="left" vertical="center"/>
    </xf>
    <xf numFmtId="0" fontId="2" fillId="0" borderId="0" xfId="0" applyFont="1" applyFill="1" applyAlignment="1">
      <alignment horizontal="left" vertical="center"/>
    </xf>
    <xf numFmtId="0" fontId="3" fillId="0" borderId="0" xfId="0" applyFont="1"/>
    <xf numFmtId="0" fontId="0" fillId="0" borderId="0" xfId="0" applyFont="1"/>
    <xf numFmtId="0" fontId="0" fillId="0" borderId="0" xfId="0" applyAlignment="1">
      <alignment horizontal="left"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xf>
    <xf numFmtId="0" fontId="0" fillId="0" borderId="0" xfId="0" applyAlignment="1">
      <alignment horizontal="left" wrapText="1"/>
    </xf>
    <xf numFmtId="0" fontId="4" fillId="2" borderId="0" xfId="0" applyFont="1" applyFill="1"/>
    <xf numFmtId="0" fontId="5" fillId="2" borderId="0" xfId="0" applyFont="1" applyFill="1"/>
    <xf numFmtId="0" fontId="4" fillId="3" borderId="0" xfId="0" applyFont="1" applyFill="1"/>
    <xf numFmtId="0" fontId="0" fillId="0" borderId="0" xfId="0" applyFont="1" applyAlignment="1">
      <alignment horizontal="center"/>
    </xf>
    <xf numFmtId="9" fontId="0" fillId="0" borderId="0" xfId="0" applyNumberFormat="1" applyFont="1"/>
    <xf numFmtId="0" fontId="0" fillId="0" borderId="0" xfId="0" applyFill="1"/>
    <xf numFmtId="0" fontId="0" fillId="4" borderId="0" xfId="0" applyFont="1" applyFill="1"/>
    <xf numFmtId="0" fontId="0" fillId="5" borderId="0" xfId="0" applyFont="1" applyFill="1"/>
    <xf numFmtId="0" fontId="0" fillId="6" borderId="0" xfId="0" applyFont="1" applyFill="1"/>
    <xf numFmtId="0" fontId="0" fillId="0" borderId="0" xfId="0" applyFill="1" applyAlignment="1">
      <alignment horizontal="left" vertical="center"/>
    </xf>
    <xf numFmtId="0" fontId="6" fillId="0" borderId="0" xfId="0" applyFont="1"/>
    <xf numFmtId="0" fontId="0" fillId="0" borderId="0" xfId="0" applyFont="1" applyAlignment="1">
      <alignment horizontal="center" vertical="center"/>
    </xf>
    <xf numFmtId="0" fontId="2" fillId="2" borderId="1" xfId="0" applyFont="1" applyFill="1" applyBorder="1" applyAlignment="1">
      <alignment horizontal="center" vertical="center" wrapText="1"/>
    </xf>
    <xf numFmtId="0" fontId="0" fillId="0" borderId="2" xfId="0" applyFill="1" applyBorder="1" applyAlignment="1">
      <alignment horizontal="left" vertical="top"/>
    </xf>
    <xf numFmtId="0" fontId="0" fillId="0" borderId="2" xfId="0"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center" vertical="top" wrapText="1"/>
    </xf>
    <xf numFmtId="14" fontId="0" fillId="0" borderId="2" xfId="0" applyNumberFormat="1" applyBorder="1" applyAlignment="1">
      <alignment horizontal="left" vertical="top"/>
    </xf>
    <xf numFmtId="0" fontId="0" fillId="0" borderId="2" xfId="0" applyFill="1" applyBorder="1" applyAlignment="1">
      <alignment horizontal="left" vertical="top" wrapText="1"/>
    </xf>
    <xf numFmtId="0" fontId="0" fillId="0" borderId="2" xfId="0" applyBorder="1" applyAlignment="1">
      <alignment horizontal="left" vertical="center"/>
    </xf>
    <xf numFmtId="0" fontId="7" fillId="0" borderId="2" xfId="0" applyFont="1" applyBorder="1" applyAlignment="1">
      <alignment horizontal="left" vertical="top" wrapText="1"/>
    </xf>
    <xf numFmtId="0" fontId="7" fillId="0" borderId="2" xfId="0" applyFont="1" applyBorder="1" applyAlignment="1">
      <alignment horizontal="center" vertical="top" wrapText="1"/>
    </xf>
    <xf numFmtId="0" fontId="8" fillId="0" borderId="2" xfId="0" applyFont="1" applyBorder="1" applyAlignment="1">
      <alignment horizontal="left" vertical="top" wrapText="1"/>
    </xf>
    <xf numFmtId="14" fontId="0" fillId="0" borderId="2" xfId="0" applyNumberFormat="1" applyBorder="1" applyAlignment="1">
      <alignment horizontal="left" vertical="top" wrapText="1"/>
    </xf>
    <xf numFmtId="0" fontId="0" fillId="0" borderId="3" xfId="0" applyFill="1" applyBorder="1" applyAlignment="1">
      <alignment horizontal="left" vertical="top" wrapText="1"/>
    </xf>
    <xf numFmtId="0" fontId="0" fillId="0" borderId="3" xfId="0" applyBorder="1" applyAlignment="1">
      <alignment horizontal="left" vertical="top" wrapText="1"/>
    </xf>
    <xf numFmtId="0" fontId="7" fillId="0" borderId="3" xfId="0" applyFont="1" applyBorder="1" applyAlignment="1">
      <alignment horizontal="left" vertical="top" wrapText="1"/>
    </xf>
    <xf numFmtId="0" fontId="7" fillId="0" borderId="3" xfId="0" applyFont="1" applyBorder="1" applyAlignment="1">
      <alignment horizontal="center" vertical="top" wrapText="1"/>
    </xf>
    <xf numFmtId="0" fontId="8" fillId="0" borderId="3" xfId="0" applyFont="1" applyBorder="1" applyAlignment="1">
      <alignment horizontal="left" vertical="top" wrapText="1"/>
    </xf>
    <xf numFmtId="0" fontId="0" fillId="0" borderId="3" xfId="0" applyBorder="1" applyAlignment="1">
      <alignment horizontal="left" vertical="top"/>
    </xf>
    <xf numFmtId="14" fontId="0" fillId="0" borderId="3" xfId="0" applyNumberFormat="1" applyBorder="1" applyAlignment="1">
      <alignment horizontal="left" vertical="top" wrapText="1"/>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wrapText="1"/>
    </xf>
    <xf numFmtId="0" fontId="0" fillId="7" borderId="0" xfId="0" applyFill="1" applyAlignment="1">
      <alignment horizontal="left" vertical="center"/>
    </xf>
    <xf numFmtId="0" fontId="10" fillId="0" borderId="0" xfId="1" applyFont="1"/>
    <xf numFmtId="0" fontId="9" fillId="0" borderId="0" xfId="1"/>
    <xf numFmtId="0" fontId="11" fillId="0" borderId="0" xfId="1" applyFont="1"/>
    <xf numFmtId="0" fontId="9" fillId="0" borderId="0" xfId="1" applyAlignment="1">
      <alignment horizontal="right"/>
    </xf>
    <xf numFmtId="0" fontId="12" fillId="2" borderId="0" xfId="1" applyFont="1" applyFill="1" applyAlignment="1">
      <alignment horizontal="center"/>
    </xf>
    <xf numFmtId="0" fontId="9" fillId="0" borderId="0" xfId="1" applyAlignment="1">
      <alignment horizontal="left"/>
    </xf>
    <xf numFmtId="0" fontId="5" fillId="2" borderId="0" xfId="1" applyFont="1" applyFill="1" applyAlignment="1">
      <alignment horizontal="center"/>
    </xf>
    <xf numFmtId="0" fontId="5" fillId="2" borderId="0" xfId="1" applyFont="1" applyFill="1" applyAlignment="1">
      <alignment horizontal="left"/>
    </xf>
    <xf numFmtId="0" fontId="13" fillId="5" borderId="0" xfId="1" applyFont="1" applyFill="1" applyAlignment="1">
      <alignment horizontal="center" vertical="center"/>
    </xf>
    <xf numFmtId="0" fontId="13" fillId="4" borderId="0" xfId="1" applyFont="1" applyFill="1" applyAlignment="1">
      <alignment horizontal="center" vertical="center"/>
    </xf>
    <xf numFmtId="0" fontId="12" fillId="3" borderId="0" xfId="1" applyFont="1" applyFill="1" applyAlignment="1">
      <alignment horizontal="center" vertical="center"/>
    </xf>
    <xf numFmtId="0" fontId="13" fillId="6" borderId="0" xfId="1" applyFont="1" applyFill="1" applyAlignment="1">
      <alignment horizontal="center" vertical="center"/>
    </xf>
    <xf numFmtId="0" fontId="13" fillId="8" borderId="0" xfId="1" applyFont="1" applyFill="1" applyAlignment="1">
      <alignment horizontal="center" vertical="center"/>
    </xf>
    <xf numFmtId="0" fontId="5" fillId="0" borderId="0" xfId="1" applyFont="1" applyAlignment="1">
      <alignment horizontal="left"/>
    </xf>
  </cellXfs>
  <cellStyles count="2">
    <cellStyle name="Normal" xfId="0" builtinId="0"/>
    <cellStyle name="Normal 3" xfId="1" xr:uid="{789E2D6A-D810-4A9E-9AE1-E4A827A6A6B3}"/>
  </cellStyles>
  <dxfs count="36">
    <dxf>
      <font>
        <b val="0"/>
        <i val="0"/>
        <strike val="0"/>
        <condense val="0"/>
        <extend val="0"/>
        <outline val="0"/>
        <shadow val="0"/>
        <u val="none"/>
        <vertAlign val="baseline"/>
        <sz val="11"/>
        <color rgb="FF000000"/>
        <name val="Calibri"/>
        <family val="2"/>
        <scheme val="none"/>
      </font>
      <alignment horizontal="left" vertical="top" textRotation="0" wrapText="1" indent="0" justifyLastLine="0" shrinkToFit="0" readingOrder="0"/>
      <border diagonalUp="0" diagonalDown="0">
        <left/>
        <right/>
        <top style="thin">
          <color theme="0" tint="-0.14996795556505021"/>
        </top>
        <bottom style="thin">
          <color theme="0" tint="-0.14996795556505021"/>
        </bottom>
        <vertical/>
        <horizontal/>
      </border>
    </dxf>
    <dxf>
      <fill>
        <patternFill patternType="none">
          <fgColor indexed="64"/>
          <bgColor indexed="65"/>
        </patternFill>
      </fill>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dxf>
    <dxf>
      <alignment horizontal="left" vertical="center" textRotation="0" wrapText="0" indent="0" justifyLastLine="0" shrinkToFit="0" readingOrder="0"/>
    </dxf>
    <dxf>
      <fill>
        <patternFill patternType="solid">
          <fgColor indexed="64"/>
          <bgColor theme="8" tint="0.79998168889431442"/>
        </patternFill>
      </fill>
      <alignment horizontal="left" vertical="center" textRotation="0" wrapText="0" indent="0" justifyLastLine="0" shrinkToFit="0" readingOrder="0"/>
    </dxf>
    <dxf>
      <fill>
        <patternFill patternType="solid">
          <fgColor indexed="64"/>
          <bgColor theme="8" tint="0.7999816888943144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left" vertical="top" textRotation="0" wrapText="1" indent="0" justifyLastLine="0" shrinkToFit="0" readingOrder="0"/>
      <border diagonalUp="0" diagonalDown="0">
        <left/>
        <right/>
        <top style="thin">
          <color theme="0" tint="-0.14996795556505021"/>
        </top>
        <bottom style="thin">
          <color theme="0" tint="-0.14996795556505021"/>
        </bottom>
        <vertical/>
        <horizontal style="thin">
          <color theme="0" tint="-0.14996795556505021"/>
        </horizontal>
      </border>
    </dxf>
    <dxf>
      <alignment horizontal="left" vertical="top" textRotation="0" wrapText="0" indent="0" justifyLastLine="0" shrinkToFit="0" readingOrder="0"/>
      <border diagonalUp="0" diagonalDown="0">
        <left/>
        <right/>
        <top style="thin">
          <color theme="0" tint="-0.14996795556505021"/>
        </top>
        <bottom style="thin">
          <color theme="0" tint="-0.14996795556505021"/>
        </bottom>
        <vertical/>
        <horizontal style="thin">
          <color theme="0" tint="-0.14996795556505021"/>
        </horizontal>
      </border>
    </dxf>
    <dxf>
      <numFmt numFmtId="19" formatCode="dd/mm/yyyy"/>
      <alignment horizontal="left" vertical="top" textRotation="0" wrapText="1" indent="0" justifyLastLine="0" shrinkToFit="0" readingOrder="0"/>
      <border diagonalUp="0" diagonalDown="0">
        <left/>
        <right/>
        <top style="thin">
          <color theme="0" tint="-0.14996795556505021"/>
        </top>
        <bottom style="thin">
          <color theme="0" tint="-0.14996795556505021"/>
        </bottom>
        <vertical/>
        <horizontal style="thin">
          <color theme="0" tint="-0.14996795556505021"/>
        </horizontal>
      </border>
    </dxf>
    <dxf>
      <numFmt numFmtId="0" formatCode="General"/>
      <alignment horizontal="left" vertical="top" textRotation="0" wrapText="0" indent="0" justifyLastLine="0" shrinkToFit="0" readingOrder="0"/>
      <border diagonalUp="0" diagonalDown="0">
        <left/>
        <right/>
        <top style="thin">
          <color theme="0" tint="-0.14996795556505021"/>
        </top>
        <bottom style="thin">
          <color theme="0" tint="-0.14996795556505021"/>
        </bottom>
        <vertical/>
        <horizontal style="thin">
          <color theme="0" tint="-0.14996795556505021"/>
        </horizontal>
      </border>
    </dxf>
    <dxf>
      <font>
        <b val="0"/>
        <i val="0"/>
        <strike val="0"/>
        <condense val="0"/>
        <extend val="0"/>
        <outline val="0"/>
        <shadow val="0"/>
        <u val="none"/>
        <vertAlign val="baseline"/>
        <sz val="12"/>
        <color rgb="FF000000"/>
        <name val="Calibri"/>
        <family val="2"/>
        <scheme val="none"/>
      </font>
      <alignment horizontal="left" vertical="top" textRotation="0" wrapText="1" indent="0" justifyLastLine="0" shrinkToFit="0" readingOrder="0"/>
      <border diagonalUp="0" diagonalDown="0">
        <left/>
        <right/>
        <top style="thin">
          <color theme="0" tint="-0.14996795556505021"/>
        </top>
        <bottom style="thin">
          <color theme="0" tint="-0.14996795556505021"/>
        </bottom>
        <vertical/>
        <horizontal style="thin">
          <color theme="0" tint="-0.14996795556505021"/>
        </horizontal>
      </border>
    </dxf>
    <dxf>
      <font>
        <b val="0"/>
        <i val="0"/>
        <strike val="0"/>
        <condense val="0"/>
        <extend val="0"/>
        <outline val="0"/>
        <shadow val="0"/>
        <u val="none"/>
        <vertAlign val="baseline"/>
        <sz val="11"/>
        <color rgb="FF000000"/>
        <name val="Calibri"/>
        <family val="2"/>
        <scheme val="none"/>
      </font>
      <alignment horizontal="left" vertical="top" textRotation="0" wrapText="1" indent="0" justifyLastLine="0" shrinkToFit="0" readingOrder="0"/>
      <border diagonalUp="0" diagonalDown="0">
        <left/>
        <right/>
        <top style="thin">
          <color theme="0" tint="-0.14996795556505021"/>
        </top>
        <bottom style="thin">
          <color theme="0" tint="-0.14996795556505021"/>
        </bottom>
        <vertical/>
        <horizontal/>
      </border>
    </dxf>
    <dxf>
      <font>
        <b val="0"/>
        <i val="0"/>
        <strike val="0"/>
        <condense val="0"/>
        <extend val="0"/>
        <outline val="0"/>
        <shadow val="0"/>
        <u val="none"/>
        <vertAlign val="baseline"/>
        <sz val="11"/>
        <color rgb="FF000000"/>
        <name val="Calibri"/>
        <family val="2"/>
        <scheme val="none"/>
      </font>
      <alignment horizontal="left" vertical="top" textRotation="0" wrapText="1" indent="0" justifyLastLine="0" shrinkToFit="0" readingOrder="0"/>
      <border diagonalUp="0" diagonalDown="0">
        <left/>
        <right/>
        <top style="thin">
          <color theme="0" tint="-0.14996795556505021"/>
        </top>
        <bottom style="thin">
          <color theme="0" tint="-0.14996795556505021"/>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left" vertical="top" textRotation="0" wrapText="1" indent="0" justifyLastLine="0" shrinkToFit="0" readingOrder="0"/>
      <border diagonalUp="0" diagonalDown="0">
        <left/>
        <right/>
        <top style="thin">
          <color theme="0" tint="-0.14996795556505021"/>
        </top>
        <bottom style="thin">
          <color theme="0" tint="-0.14996795556505021"/>
        </bottom>
      </border>
    </dxf>
    <dxf>
      <font>
        <b val="0"/>
        <i val="0"/>
        <strike val="0"/>
        <condense val="0"/>
        <extend val="0"/>
        <outline val="0"/>
        <shadow val="0"/>
        <u val="none"/>
        <vertAlign val="baseline"/>
        <sz val="11"/>
        <color rgb="FF000000"/>
        <name val="Calibri"/>
        <family val="2"/>
        <scheme val="none"/>
      </font>
      <numFmt numFmtId="0" formatCode="General"/>
      <alignment horizontal="center" vertical="top" textRotation="0" wrapText="1" indent="0" justifyLastLine="0" shrinkToFit="0" readingOrder="0"/>
      <border diagonalUp="0" diagonalDown="0">
        <left/>
        <right/>
        <top style="thin">
          <color theme="0" tint="-0.14996795556505021"/>
        </top>
        <bottom style="thin">
          <color theme="0" tint="-0.14996795556505021"/>
        </bottom>
      </border>
    </dxf>
    <dxf>
      <font>
        <b val="0"/>
        <i val="0"/>
        <strike val="0"/>
        <condense val="0"/>
        <extend val="0"/>
        <outline val="0"/>
        <shadow val="0"/>
        <u val="none"/>
        <vertAlign val="baseline"/>
        <sz val="11"/>
        <color rgb="FF000000"/>
        <name val="Calibri"/>
        <family val="2"/>
        <scheme val="none"/>
      </font>
      <alignment horizontal="left" vertical="top" textRotation="0" wrapText="1" indent="0" justifyLastLine="0" shrinkToFit="0" readingOrder="0"/>
      <border diagonalUp="0" diagonalDown="0" outline="0">
        <left/>
        <right/>
        <top style="thin">
          <color theme="0" tint="-0.14996795556505021"/>
        </top>
        <bottom style="thin">
          <color theme="0" tint="-0.14996795556505021"/>
        </bottom>
      </border>
    </dxf>
    <dxf>
      <font>
        <b val="0"/>
        <i val="0"/>
        <strike val="0"/>
        <condense val="0"/>
        <extend val="0"/>
        <outline val="0"/>
        <shadow val="0"/>
        <u val="none"/>
        <vertAlign val="baseline"/>
        <sz val="11"/>
        <color rgb="FF000000"/>
        <name val="Calibri"/>
        <family val="2"/>
        <scheme val="none"/>
      </font>
      <alignment horizontal="left" vertical="top" textRotation="0" wrapText="1" indent="0" justifyLastLine="0" shrinkToFit="0" readingOrder="0"/>
      <border diagonalUp="0" diagonalDown="0">
        <left/>
        <right/>
        <top style="thin">
          <color theme="0" tint="-0.14996795556505021"/>
        </top>
        <bottom style="thin">
          <color theme="0" tint="-0.14996795556505021"/>
        </bottom>
        <vertical/>
        <horizontal/>
      </border>
    </dxf>
    <dxf>
      <font>
        <color rgb="FF000000"/>
        <name val="Calibri"/>
        <family val="2"/>
        <scheme val="none"/>
      </font>
      <alignment horizontal="left" vertical="top" textRotation="0" wrapText="1" indent="0" justifyLastLine="0" shrinkToFit="0" readingOrder="0"/>
      <border diagonalUp="0" diagonalDown="0">
        <left/>
        <right/>
        <top style="thin">
          <color theme="0" tint="-0.14996795556505021"/>
        </top>
        <bottom style="thin">
          <color theme="0" tint="-0.14996795556505021"/>
        </bottom>
        <vertical/>
        <horizontal/>
      </border>
    </dxf>
    <dxf>
      <font>
        <b val="0"/>
        <i val="0"/>
        <strike val="0"/>
        <condense val="0"/>
        <extend val="0"/>
        <outline val="0"/>
        <shadow val="0"/>
        <u val="none"/>
        <vertAlign val="baseline"/>
        <sz val="11"/>
        <color rgb="FF000000"/>
        <name val="Calibri"/>
        <family val="2"/>
        <scheme val="none"/>
      </font>
      <alignment horizontal="left" vertical="top" textRotation="0" wrapText="1" indent="0" justifyLastLine="0" shrinkToFit="0" readingOrder="0"/>
      <border diagonalUp="0" diagonalDown="0">
        <left/>
        <right/>
        <top style="thin">
          <color theme="0" tint="-0.14996795556505021"/>
        </top>
        <bottom style="thin">
          <color theme="0" tint="-0.14996795556505021"/>
        </bottom>
        <vertical/>
        <horizontal/>
      </border>
    </dxf>
    <dxf>
      <font>
        <b val="0"/>
        <i val="0"/>
        <strike val="0"/>
        <condense val="0"/>
        <extend val="0"/>
        <outline val="0"/>
        <shadow val="0"/>
        <u val="none"/>
        <vertAlign val="baseline"/>
        <sz val="11"/>
        <color rgb="FF000000"/>
        <name val="Calibri"/>
        <family val="2"/>
        <scheme val="none"/>
      </font>
      <alignment horizontal="left" vertical="top" textRotation="0" wrapText="1" indent="0" justifyLastLine="0" shrinkToFit="0" readingOrder="0"/>
      <border diagonalUp="0" diagonalDown="0">
        <left/>
        <right/>
        <top style="thin">
          <color theme="0" tint="-0.14996795556505021"/>
        </top>
        <bottom style="thin">
          <color theme="0" tint="-0.14996795556505021"/>
        </bottom>
        <vertical/>
        <horizontal style="thin">
          <color theme="0" tint="-0.14996795556505021"/>
        </horizontal>
      </border>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right/>
        <top style="thin">
          <color theme="0" tint="-0.14996795556505021"/>
        </top>
        <bottom style="thin">
          <color theme="0" tint="-0.14996795556505021"/>
        </bottom>
      </border>
    </dxf>
    <dxf>
      <fill>
        <patternFill patternType="none">
          <fgColor indexed="64"/>
          <bgColor auto="1"/>
        </patternFill>
      </fill>
      <alignment horizontal="left" vertical="top" textRotation="0" wrapText="1" indent="0" justifyLastLine="0" shrinkToFit="0" readingOrder="0"/>
      <border diagonalUp="0" diagonalDown="0" outline="0">
        <left/>
        <right/>
        <top style="thin">
          <color theme="0" tint="-0.14996795556505021"/>
        </top>
        <bottom style="thin">
          <color theme="0" tint="-0.14996795556505021"/>
        </bottom>
      </border>
    </dxf>
    <dxf>
      <alignment horizontal="center" vertical="center" textRotation="0" indent="0" justifyLastLine="0" shrinkToFit="0" readingOrder="0"/>
      <border diagonalUp="0" diagonalDown="0" outline="0">
        <left/>
        <right/>
        <top style="thin">
          <color theme="0" tint="-0.14996795556505021"/>
        </top>
        <bottom style="thin">
          <color theme="0" tint="-0.14996795556505021"/>
        </bottom>
      </border>
    </dxf>
    <dxf>
      <border outline="0">
        <bottom style="thin">
          <color indexed="64"/>
        </bottom>
      </border>
    </dxf>
    <dxf>
      <border outline="0">
        <left style="thin">
          <color indexed="64"/>
        </left>
        <top style="thin">
          <color indexed="64"/>
        </top>
      </border>
    </dxf>
    <dxf>
      <alignment horizontal="left" vertical="top" textRotation="0" indent="0" justifyLastLine="0" shrinkToFit="0" readingOrder="0"/>
    </dxf>
    <dxf>
      <font>
        <strike val="0"/>
        <outline val="0"/>
        <shadow val="0"/>
        <u val="none"/>
        <vertAlign val="baseline"/>
        <sz val="1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eur\Downloads\BOA_RAID_pilot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ID"/>
      <sheetName val="Data"/>
      <sheetName val="Matrice_Criticite"/>
      <sheetName val="Suivi Stream 1 "/>
      <sheetName val="Suivi Stream 2 "/>
      <sheetName val="Suivi Comités"/>
      <sheetName val="Suivi Chantier "/>
      <sheetName val="Interlocuteurs"/>
      <sheetName val="Echelles"/>
      <sheetName val="Descriptions Chantier"/>
      <sheetName val="Volume par moi par chantier"/>
      <sheetName val="Pivot table volume par chantier"/>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10C232-BF3E-4FA2-BAC9-EED46E4DE6E2}" name="Tableau13" displayName="Tableau13" ref="A14:R112" totalsRowShown="0" headerRowDxfId="35" dataDxfId="34" headerRowBorderDxfId="32" tableBorderDxfId="33">
  <autoFilter ref="A14:R112" xr:uid="{5FEC365D-7187-4671-9F85-27ABCC08808E}"/>
  <tableColumns count="18">
    <tableColumn id="1" xr3:uid="{9615767D-3F02-4500-9CD8-E5F0F49999D1}" name="ID" dataDxfId="31"/>
    <tableColumn id="6" xr3:uid="{5498CF1B-1C2B-4874-97CE-905917271107}" name="Type" dataDxfId="30"/>
    <tableColumn id="8" xr3:uid="{1E85A7AC-E554-4CA0-8414-3142B383B8E3}" name="Intitulé" dataDxfId="29"/>
    <tableColumn id="9" xr3:uid="{1628803F-4FCA-48F9-B63F-2966D3FBB9D8}" name="Description " dataDxfId="28"/>
    <tableColumn id="23" xr3:uid="{8E18D8E5-E5C1-42DB-8241-FDB9AC2580BC}" name="Catégorie" dataDxfId="27"/>
    <tableColumn id="4" xr3:uid="{6B45344E-B7AB-47CB-9CB5-73AC23F30C9E}" name="Chantier" dataDxfId="0"/>
    <tableColumn id="7" xr3:uid="{451E741A-3E64-4F41-A6A2-6AB5E1FAE66E}" name="Domaine" dataDxfId="26"/>
    <tableColumn id="2" xr3:uid="{E8029E2B-9A65-4F10-90D0-04D6AFAACFDD}" name="Probabilité" dataDxfId="25"/>
    <tableColumn id="3" xr3:uid="{E3D4FDB6-C41E-4600-9A96-63F647DEF988}" name="Impact" dataDxfId="24"/>
    <tableColumn id="17" xr3:uid="{DE6C8825-C213-4EF2-A9DD-BCC5E67EA400}" name="Score" dataDxfId="23">
      <calculatedColumnFormula>IF(Tableau13[[#This Row],[Probabilité]]&lt;&gt;"",Tableau13[[#This Row],[Probabilité]]*Tableau13[[#This Row],[Impact]],"")</calculatedColumnFormula>
    </tableColumn>
    <tableColumn id="18" xr3:uid="{DCBACE49-13FC-4499-BE0A-B3BDA66393FF}" name="Criticité" dataDxfId="22"/>
    <tableColumn id="19" xr3:uid="{71B5909A-601E-4B59-B31D-737A9174FD8E}" name="Stratégie" dataDxfId="21"/>
    <tableColumn id="20" xr3:uid="{EDAE4086-4E53-4D81-B14D-D9BB8178ABEA}" name="Mitigation" dataDxfId="20"/>
    <tableColumn id="10" xr3:uid="{4F19F2FD-7210-4FAD-BD71-A918B8A6F0EF}" name="Responsable" dataDxfId="19"/>
    <tableColumn id="13" xr3:uid="{2949FBAE-78FB-4EF6-BB7A-BD70FD85A209}" name="Statut" dataDxfId="18"/>
    <tableColumn id="14" xr3:uid="{3F80B1EC-608D-4022-BD61-CF64A761150D}" name="Date_Ident." dataDxfId="17"/>
    <tableColumn id="15" xr3:uid="{7AF11EFF-77AB-4F0A-B69C-5347FCDC0A1A}" name="Date_Rev." dataDxfId="16"/>
    <tableColumn id="16" xr3:uid="{C8BB3B89-122F-4C31-A3B2-99A47350CFEE}" name="Commentaires" dataDxf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9941A4-E60F-4FAE-BE01-01271011CF59}" name="Tableau3" displayName="Tableau3" ref="A1:A36" totalsRowShown="0" headerRowDxfId="14" dataDxfId="13">
  <autoFilter ref="A1:A36" xr:uid="{F070E3BB-9A82-4327-AE44-C6EBF83F3E11}"/>
  <tableColumns count="1">
    <tableColumn id="1" xr3:uid="{030A2951-D285-4BA3-BB9E-8F8DFC2332C9}" name="Domaine" dataDxfId="12"/>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68A2FD-A04D-4AEF-830D-6D6286CCDE0B}" name="Tableau4" displayName="Tableau4" ref="B1:B5" totalsRowShown="0" headerRowDxfId="11">
  <autoFilter ref="B1:B5" xr:uid="{59987AA5-2EBE-4451-9F3F-AF129E9A9448}"/>
  <sortState ref="B2:B5">
    <sortCondition ref="B1:B5"/>
  </sortState>
  <tableColumns count="1">
    <tableColumn id="1" xr3:uid="{79FDD264-6177-456D-A1BD-DC693DB749E7}" name="Type"/>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E0558B-A404-44E3-A8AF-5DE12AAFEDF2}" name="Tableau5" displayName="Tableau5" ref="C1:C12" totalsRowShown="0" headerRowDxfId="10">
  <autoFilter ref="C1:C12" xr:uid="{DDCB30D4-3582-4C72-8CDD-E171F792A135}"/>
  <tableColumns count="1">
    <tableColumn id="1" xr3:uid="{2864CDFB-C1E1-4E8E-9B39-0A33F40998B0}" name="Instance"/>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4E291C-1C96-4218-AE8A-D667A889B5FE}" name="Tableau6" displayName="Tableau6" ref="D1:D8" totalsRowShown="0" headerRowDxfId="9" dataDxfId="8">
  <autoFilter ref="D1:D8" xr:uid="{10844FCB-9129-4201-801B-7EF08804D02A}"/>
  <tableColumns count="1">
    <tableColumn id="1" xr3:uid="{6AD8554A-FD75-44AE-B6B9-9D98AE25502A}" name="Statut" dataDxfId="7"/>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95A55D5-0F06-446F-879D-C9613F7B3B07}" name="Tableau7" displayName="Tableau7" ref="F1:F7" totalsRowShown="0" headerRowDxfId="6" dataDxfId="5">
  <autoFilter ref="F1:F7" xr:uid="{E67683E1-467E-4F8C-AACB-A2CDA6334502}"/>
  <tableColumns count="1">
    <tableColumn id="1" xr3:uid="{AD431AF2-B8CC-4021-B0BE-1C88E9355028}" name="Statut risque" dataDxfId="4"/>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411D7D-12CB-4F69-8601-69C7A9785B15}" name="Tableau9" displayName="Tableau9" ref="G1:G9" totalsRowShown="0" headerRowDxfId="3" dataDxfId="2">
  <autoFilter ref="G1:G9" xr:uid="{2AA52262-EAFF-432B-822A-6F8BBE477724}"/>
  <tableColumns count="1">
    <tableColumn id="1" xr3:uid="{1BD4E1C0-27F8-4879-976C-EDF47B6B1EC6}" name="Statut action" dataDxfId="1"/>
  </tableColumns>
  <tableStyleInfo name="TableStyleLight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F4BD478-F0F3-4B30-A247-DF031B8F0A9F}" name="Tableau10" displayName="Tableau10" ref="I1:I7" totalsRowShown="0">
  <autoFilter ref="I1:I7" xr:uid="{62345C1D-162E-48E1-8931-9E60BF8ABBB8}"/>
  <tableColumns count="1">
    <tableColumn id="1" xr3:uid="{B8F4C599-0BD8-4BA2-B485-AC190B98B2CC}" name="Statut Comités"/>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27ACA41-CAF2-498A-8BA4-3023CB8D8319}" name="Tableau11" displayName="Tableau11" ref="J1:J8" totalsRowShown="0">
  <autoFilter ref="J1:J8" xr:uid="{00A715E0-B33F-437C-A441-0C297B580F4E}"/>
  <sortState ref="J2:J8">
    <sortCondition ref="J2"/>
  </sortState>
  <tableColumns count="1">
    <tableColumn id="1" xr3:uid="{911571E9-652D-4268-921D-57E71AECC5A7}" name="Catégorie"/>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C987F01-2D14-476D-B928-A2A59E2A327A}" name="Tableau12" displayName="Tableau12" ref="L1:L5" totalsRowShown="0">
  <autoFilter ref="L1:L5" xr:uid="{CEE0C668-28F1-419E-A8D9-63CE5016730C}"/>
  <tableColumns count="1">
    <tableColumn id="1" xr3:uid="{510210A2-7ADC-42B5-ABDE-313969A38785}" name="Stratégie"/>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746B285-6641-4184-921B-6DAAB5DBFCA2}" name="Tableau14" displayName="Tableau14" ref="M1:M6" totalsRowShown="0">
  <autoFilter ref="M1:M6" xr:uid="{BDB01B77-3493-40AA-910E-3C9C61AC23F6}"/>
  <tableColumns count="1">
    <tableColumn id="1" xr3:uid="{78871716-C2DF-4C9D-8BD9-09120E32C967}" name="Criticité"/>
  </tableColumns>
  <tableStyleInfo name="TableStyleLight1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B38208F-A721-4923-BD2C-4073536017A3}" name="Tableau15" displayName="Tableau15" ref="O1:O6" totalsRowShown="0">
  <autoFilter ref="O1:O6" xr:uid="{06BB57D9-1A64-4EE1-94F5-0CB194D11409}"/>
  <tableColumns count="1">
    <tableColumn id="1" xr3:uid="{08C47148-D021-4935-9EE9-E5A0248E339F}" name="Probabilité"/>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7AFD7FA-4140-4703-9877-85644E0C8D39}" name="Tableau16" displayName="Tableau16" ref="Q1:Q6" totalsRowShown="0">
  <autoFilter ref="Q1:Q6" xr:uid="{6A0A763C-A147-4C21-990E-3CF004D294EB}"/>
  <tableColumns count="1">
    <tableColumn id="1" xr3:uid="{01B8EC54-E19D-4763-932B-561100510D17}" name="Impact"/>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00B6-1DCC-4D46-813C-1348FCFAE5EA}">
  <dimension ref="A1:S112"/>
  <sheetViews>
    <sheetView showGridLines="0" tabSelected="1" zoomScale="70" zoomScaleNormal="70" workbookViewId="0">
      <pane ySplit="14" topLeftCell="A15" activePane="bottomLeft" state="frozen"/>
      <selection activeCell="F23" sqref="F23"/>
      <selection pane="bottomLeft" activeCell="B15" sqref="B15"/>
    </sheetView>
  </sheetViews>
  <sheetFormatPr baseColWidth="10" defaultColWidth="12.68359375" defaultRowHeight="14.4" x14ac:dyDescent="0.55000000000000004"/>
  <cols>
    <col min="1" max="1" width="30.41796875" style="6" bestFit="1" customWidth="1"/>
    <col min="2" max="2" width="15.26171875" style="19" bestFit="1" customWidth="1"/>
    <col min="3" max="3" width="47.20703125" style="6" customWidth="1"/>
    <col min="4" max="4" width="80.15625" style="5" customWidth="1"/>
    <col min="5" max="5" width="15.15625" style="5" bestFit="1" customWidth="1"/>
    <col min="6" max="6" width="41.20703125" style="5" customWidth="1"/>
    <col min="8" max="8" width="17.1015625" style="5" customWidth="1"/>
    <col min="9" max="9" width="20.47265625" style="6" customWidth="1"/>
    <col min="10" max="10" width="22.89453125" style="5" customWidth="1"/>
    <col min="11" max="11" width="15.15625" style="5" bestFit="1" customWidth="1"/>
    <col min="12" max="12" width="75.15625" style="5" customWidth="1"/>
    <col min="13" max="13" width="25.62890625" style="5" bestFit="1" customWidth="1"/>
    <col min="14" max="14" width="16.89453125" style="7" bestFit="1" customWidth="1"/>
    <col min="15" max="15" width="17.68359375" style="6" bestFit="1" customWidth="1"/>
    <col min="16" max="16" width="16.26171875" style="6" bestFit="1" customWidth="1"/>
    <col min="17" max="17" width="30.62890625" style="7" customWidth="1"/>
    <col min="18" max="18" width="14.15625" style="8" customWidth="1"/>
    <col min="19" max="19" width="55.26171875" style="9" bestFit="1" customWidth="1"/>
  </cols>
  <sheetData>
    <row r="1" spans="1:19" s="1" customFormat="1" ht="41.25" customHeight="1" x14ac:dyDescent="0.55000000000000004">
      <c r="A1" s="1" t="s">
        <v>0</v>
      </c>
    </row>
    <row r="2" spans="1:19" s="2" customFormat="1" x14ac:dyDescent="0.55000000000000004"/>
    <row r="3" spans="1:19" x14ac:dyDescent="0.55000000000000004">
      <c r="A3" s="3" t="s">
        <v>1</v>
      </c>
      <c r="B3" s="4"/>
      <c r="C3" s="4"/>
      <c r="E3" s="3" t="s">
        <v>2</v>
      </c>
      <c r="F3"/>
      <c r="H3" s="3" t="s">
        <v>3</v>
      </c>
      <c r="I3"/>
      <c r="N3" s="5"/>
    </row>
    <row r="4" spans="1:19" x14ac:dyDescent="0.55000000000000004">
      <c r="A4" s="10" t="s">
        <v>4</v>
      </c>
      <c r="B4" s="10" t="s">
        <v>5</v>
      </c>
      <c r="C4" s="10" t="s">
        <v>6</v>
      </c>
      <c r="E4" s="10" t="s">
        <v>7</v>
      </c>
      <c r="F4" s="10" t="s">
        <v>5</v>
      </c>
      <c r="H4" s="11" t="s">
        <v>8</v>
      </c>
      <c r="I4" s="11" t="s">
        <v>5</v>
      </c>
    </row>
    <row r="5" spans="1:19" x14ac:dyDescent="0.55000000000000004">
      <c r="A5" s="12" t="s">
        <v>9</v>
      </c>
      <c r="B5" s="13">
        <f>COUNTIFS(B$15:B$1048576,"Risque",J$15:J$1048576,A5)</f>
        <v>0</v>
      </c>
      <c r="C5" s="14">
        <f>B5/17</f>
        <v>0</v>
      </c>
      <c r="E5" t="s">
        <v>10</v>
      </c>
      <c r="F5" s="8">
        <f t="shared" ref="F5:F11" si="0">COUNTIFS(B$15:B$1048576,"Risque",E$15:E$1048576,E5)</f>
        <v>0</v>
      </c>
      <c r="H5" s="15" t="s">
        <v>11</v>
      </c>
      <c r="I5" s="8">
        <f>COUNTIFS(B$15:B$1048576,"Risque",N$15:N$1048576,H5)</f>
        <v>0</v>
      </c>
    </row>
    <row r="6" spans="1:19" x14ac:dyDescent="0.55000000000000004">
      <c r="A6" s="16" t="s">
        <v>12</v>
      </c>
      <c r="B6" s="13">
        <f>COUNTIFS(B$15:B$1048576,"Risque",J$15:J$1048576,A6)</f>
        <v>0</v>
      </c>
      <c r="C6" s="14">
        <f>B6/17</f>
        <v>0</v>
      </c>
      <c r="E6" t="s">
        <v>13</v>
      </c>
      <c r="F6" s="8">
        <f t="shared" si="0"/>
        <v>0</v>
      </c>
      <c r="H6" s="15" t="s">
        <v>14</v>
      </c>
      <c r="I6" s="8">
        <f>COUNTIFS(B$15:B$1048576,"Risque",N$15:N$1048576,H6)</f>
        <v>0</v>
      </c>
    </row>
    <row r="7" spans="1:19" x14ac:dyDescent="0.55000000000000004">
      <c r="A7" s="17" t="s">
        <v>15</v>
      </c>
      <c r="B7" s="13">
        <f>COUNTIFS(B$15:B$1048576,"Risque",J$15:J$1048576,A7)</f>
        <v>0</v>
      </c>
      <c r="C7" s="14">
        <f>B7/17</f>
        <v>0</v>
      </c>
      <c r="E7" t="s">
        <v>16</v>
      </c>
      <c r="F7" s="8">
        <f t="shared" si="0"/>
        <v>0</v>
      </c>
      <c r="H7" s="15" t="s">
        <v>17</v>
      </c>
      <c r="I7" s="8">
        <f>COUNTIFS(B$15:B$1048576,"Risque",N$15:N$1048576,H7)</f>
        <v>0</v>
      </c>
    </row>
    <row r="8" spans="1:19" x14ac:dyDescent="0.55000000000000004">
      <c r="A8" s="18" t="s">
        <v>18</v>
      </c>
      <c r="B8" s="13">
        <f>COUNTIFS(B$15:B$1048576,"Risque",J$15:J$1048576,A8)</f>
        <v>0</v>
      </c>
      <c r="C8" s="14">
        <f>B8/17</f>
        <v>0</v>
      </c>
      <c r="E8" t="s">
        <v>19</v>
      </c>
      <c r="F8" s="8">
        <f t="shared" si="0"/>
        <v>0</v>
      </c>
      <c r="H8" s="19" t="s">
        <v>20</v>
      </c>
      <c r="I8" s="8">
        <f t="shared" ref="I8:I10" si="1">COUNTIFS(B$15:B$1048576,"Risque",N$15:N$1048576,H8)</f>
        <v>0</v>
      </c>
    </row>
    <row r="9" spans="1:19" x14ac:dyDescent="0.55000000000000004">
      <c r="A9" s="20" t="s">
        <v>21</v>
      </c>
      <c r="B9" s="21">
        <f>SUM(B5:B8)</f>
        <v>0</v>
      </c>
      <c r="C9" s="4"/>
      <c r="E9" t="s">
        <v>22</v>
      </c>
      <c r="F9" s="8">
        <f t="shared" si="0"/>
        <v>0</v>
      </c>
      <c r="H9" s="19" t="s">
        <v>23</v>
      </c>
      <c r="I9" s="8">
        <f t="shared" si="1"/>
        <v>0</v>
      </c>
    </row>
    <row r="10" spans="1:19" x14ac:dyDescent="0.55000000000000004">
      <c r="E10" t="s">
        <v>24</v>
      </c>
      <c r="F10" s="8">
        <f t="shared" si="0"/>
        <v>0</v>
      </c>
      <c r="H10" s="19" t="s">
        <v>25</v>
      </c>
      <c r="I10" s="8">
        <f t="shared" si="1"/>
        <v>0</v>
      </c>
    </row>
    <row r="11" spans="1:19" x14ac:dyDescent="0.55000000000000004">
      <c r="E11" t="s">
        <v>26</v>
      </c>
      <c r="F11" s="8">
        <f t="shared" si="0"/>
        <v>0</v>
      </c>
      <c r="H11"/>
      <c r="I11"/>
    </row>
    <row r="13" spans="1:19" x14ac:dyDescent="0.55000000000000004">
      <c r="J13" s="6" t="s">
        <v>27</v>
      </c>
    </row>
    <row r="14" spans="1:19" s="4" customFormat="1" x14ac:dyDescent="0.55000000000000004">
      <c r="A14" s="22" t="s">
        <v>28</v>
      </c>
      <c r="B14" s="22" t="s">
        <v>75</v>
      </c>
      <c r="C14" s="22" t="s">
        <v>29</v>
      </c>
      <c r="D14" s="22" t="s">
        <v>30</v>
      </c>
      <c r="E14" s="22" t="s">
        <v>7</v>
      </c>
      <c r="F14" s="22" t="s">
        <v>167</v>
      </c>
      <c r="G14" s="22" t="s">
        <v>74</v>
      </c>
      <c r="H14" s="22" t="s">
        <v>31</v>
      </c>
      <c r="I14" s="22" t="s">
        <v>32</v>
      </c>
      <c r="J14" s="22" t="s">
        <v>33</v>
      </c>
      <c r="K14" s="22" t="s">
        <v>4</v>
      </c>
      <c r="L14" s="22" t="s">
        <v>34</v>
      </c>
      <c r="M14" s="22" t="s">
        <v>35</v>
      </c>
      <c r="N14" s="22" t="s">
        <v>36</v>
      </c>
      <c r="O14" s="22" t="s">
        <v>8</v>
      </c>
      <c r="P14" s="22" t="s">
        <v>37</v>
      </c>
      <c r="Q14" s="22" t="s">
        <v>38</v>
      </c>
      <c r="R14" s="22" t="s">
        <v>39</v>
      </c>
    </row>
    <row r="15" spans="1:19" ht="28.8" x14ac:dyDescent="0.55000000000000004">
      <c r="A15" s="23">
        <v>1</v>
      </c>
      <c r="B15" s="23" t="s">
        <v>40</v>
      </c>
      <c r="C15" s="23" t="s">
        <v>41</v>
      </c>
      <c r="D15" s="24" t="s">
        <v>42</v>
      </c>
      <c r="E15" s="24"/>
      <c r="F15" s="24"/>
      <c r="G15" s="25" t="s">
        <v>43</v>
      </c>
      <c r="H15" s="24"/>
      <c r="I15" s="24"/>
      <c r="J15" s="26" t="str">
        <f>IF(Tableau13[[#This Row],[Probabilité]]&lt;&gt;"",Tableau13[[#This Row],[Probabilité]]*Tableau13[[#This Row],[Impact]],"")</f>
        <v/>
      </c>
      <c r="K15" s="24"/>
      <c r="L15" s="24"/>
      <c r="M15" s="24"/>
      <c r="N15" s="25" t="s">
        <v>44</v>
      </c>
      <c r="O15" s="25"/>
      <c r="P15" s="27"/>
      <c r="Q15" s="25"/>
      <c r="R15" s="25"/>
      <c r="S15"/>
    </row>
    <row r="16" spans="1:19" x14ac:dyDescent="0.55000000000000004">
      <c r="A16" s="23">
        <v>2</v>
      </c>
      <c r="B16" s="23" t="s">
        <v>40</v>
      </c>
      <c r="C16" s="23" t="s">
        <v>41</v>
      </c>
      <c r="D16" s="24" t="s">
        <v>45</v>
      </c>
      <c r="E16" s="24"/>
      <c r="F16" s="24"/>
      <c r="G16" s="25" t="s">
        <v>43</v>
      </c>
      <c r="H16" s="24"/>
      <c r="I16" s="24"/>
      <c r="J16" s="26" t="str">
        <f>IF(Tableau13[[#This Row],[Probabilité]]&lt;&gt;"",Tableau13[[#This Row],[Probabilité]]*Tableau13[[#This Row],[Impact]],"")</f>
        <v/>
      </c>
      <c r="K16" s="24"/>
      <c r="L16" s="24"/>
      <c r="M16" s="24"/>
      <c r="N16" s="25" t="s">
        <v>44</v>
      </c>
      <c r="O16" s="25"/>
      <c r="P16" s="27"/>
      <c r="Q16" s="25"/>
      <c r="R16" s="25"/>
      <c r="S16"/>
    </row>
    <row r="17" spans="1:19" x14ac:dyDescent="0.55000000000000004">
      <c r="A17" s="23">
        <v>3</v>
      </c>
      <c r="B17" s="23" t="s">
        <v>40</v>
      </c>
      <c r="C17" s="23" t="s">
        <v>41</v>
      </c>
      <c r="D17" s="24" t="s">
        <v>46</v>
      </c>
      <c r="E17" s="24"/>
      <c r="F17" s="24"/>
      <c r="G17" s="25" t="s">
        <v>43</v>
      </c>
      <c r="H17" s="24"/>
      <c r="I17" s="24"/>
      <c r="J17" s="26" t="str">
        <f>IF(Tableau13[[#This Row],[Probabilité]]&lt;&gt;"",Tableau13[[#This Row],[Probabilité]]*Tableau13[[#This Row],[Impact]],"")</f>
        <v/>
      </c>
      <c r="K17" s="24"/>
      <c r="L17" s="24"/>
      <c r="M17" s="24"/>
      <c r="N17" s="25" t="s">
        <v>44</v>
      </c>
      <c r="O17" s="25"/>
      <c r="P17" s="27"/>
      <c r="Q17" s="25"/>
      <c r="R17" s="25"/>
      <c r="S17"/>
    </row>
    <row r="18" spans="1:19" x14ac:dyDescent="0.55000000000000004">
      <c r="A18" s="23">
        <v>4</v>
      </c>
      <c r="B18" s="23" t="s">
        <v>40</v>
      </c>
      <c r="C18" s="23" t="s">
        <v>47</v>
      </c>
      <c r="D18" s="24" t="s">
        <v>48</v>
      </c>
      <c r="E18" s="24"/>
      <c r="F18" s="24"/>
      <c r="G18" s="25" t="s">
        <v>43</v>
      </c>
      <c r="H18" s="24"/>
      <c r="I18" s="24"/>
      <c r="J18" s="26" t="str">
        <f>IF(Tableau13[[#This Row],[Probabilité]]&lt;&gt;"",Tableau13[[#This Row],[Probabilité]]*Tableau13[[#This Row],[Impact]],"")</f>
        <v/>
      </c>
      <c r="K18" s="24"/>
      <c r="L18" s="24"/>
      <c r="M18" s="24"/>
      <c r="N18" s="25" t="s">
        <v>49</v>
      </c>
      <c r="O18" s="25"/>
      <c r="P18" s="27"/>
      <c r="Q18" s="25"/>
      <c r="R18" s="25"/>
      <c r="S18"/>
    </row>
    <row r="19" spans="1:19" ht="86.4" x14ac:dyDescent="0.55000000000000004">
      <c r="A19" s="23">
        <v>5</v>
      </c>
      <c r="B19" s="23" t="s">
        <v>40</v>
      </c>
      <c r="C19" s="23" t="s">
        <v>50</v>
      </c>
      <c r="D19" s="24" t="s">
        <v>51</v>
      </c>
      <c r="E19" s="24"/>
      <c r="F19" s="24"/>
      <c r="G19" s="25" t="s">
        <v>43</v>
      </c>
      <c r="H19" s="24">
        <v>5</v>
      </c>
      <c r="I19" s="24">
        <v>3</v>
      </c>
      <c r="J19" s="26">
        <f>IF(Tableau13[[#This Row],[Probabilité]]&lt;&gt;"",Tableau13[[#This Row],[Probabilité]]*Tableau13[[#This Row],[Impact]],"")</f>
        <v>15</v>
      </c>
      <c r="K19" s="24" t="s">
        <v>52</v>
      </c>
      <c r="L19" s="24"/>
      <c r="M19" s="24"/>
      <c r="N19" s="25" t="s">
        <v>53</v>
      </c>
      <c r="O19" s="25"/>
      <c r="P19" s="27"/>
      <c r="Q19" s="25"/>
      <c r="R19" s="25"/>
      <c r="S19"/>
    </row>
    <row r="20" spans="1:19" ht="28.8" x14ac:dyDescent="0.55000000000000004">
      <c r="A20" s="23">
        <v>6</v>
      </c>
      <c r="B20" s="23" t="s">
        <v>40</v>
      </c>
      <c r="C20" s="28" t="s">
        <v>54</v>
      </c>
      <c r="D20" s="24" t="s">
        <v>55</v>
      </c>
      <c r="E20" s="24"/>
      <c r="F20" s="24"/>
      <c r="G20" s="25" t="s">
        <v>43</v>
      </c>
      <c r="H20" s="24"/>
      <c r="I20" s="24"/>
      <c r="J20" s="26" t="str">
        <f>IF(Tableau13[[#This Row],[Probabilité]]&lt;&gt;"",Tableau13[[#This Row],[Probabilité]]*Tableau13[[#This Row],[Impact]],"")</f>
        <v/>
      </c>
      <c r="K20" s="24"/>
      <c r="L20" s="24"/>
      <c r="M20" s="24"/>
      <c r="N20" s="25" t="s">
        <v>56</v>
      </c>
      <c r="O20" s="25"/>
      <c r="P20" s="27"/>
      <c r="Q20" s="25"/>
      <c r="R20" s="25"/>
      <c r="S20"/>
    </row>
    <row r="21" spans="1:19" ht="43.2" x14ac:dyDescent="0.55000000000000004">
      <c r="A21" s="23">
        <v>7</v>
      </c>
      <c r="B21" s="23" t="s">
        <v>40</v>
      </c>
      <c r="C21" s="28" t="s">
        <v>57</v>
      </c>
      <c r="D21" s="24" t="s">
        <v>58</v>
      </c>
      <c r="E21" s="24"/>
      <c r="F21" s="24"/>
      <c r="G21" s="25" t="s">
        <v>43</v>
      </c>
      <c r="H21" s="24"/>
      <c r="I21" s="24"/>
      <c r="J21" s="26" t="str">
        <f>IF(Tableau13[[#This Row],[Probabilité]]&lt;&gt;"",Tableau13[[#This Row],[Probabilité]]*Tableau13[[#This Row],[Impact]],"")</f>
        <v/>
      </c>
      <c r="K21" s="24"/>
      <c r="L21" s="24"/>
      <c r="M21" s="24"/>
      <c r="N21" s="25" t="s">
        <v>59</v>
      </c>
      <c r="O21" s="25"/>
      <c r="P21" s="27"/>
      <c r="Q21" s="25"/>
      <c r="R21" s="25"/>
      <c r="S21"/>
    </row>
    <row r="22" spans="1:19" ht="72" x14ac:dyDescent="0.55000000000000004">
      <c r="A22" s="23">
        <v>8</v>
      </c>
      <c r="B22" s="23" t="s">
        <v>40</v>
      </c>
      <c r="C22" s="28" t="s">
        <v>60</v>
      </c>
      <c r="D22" s="24" t="s">
        <v>61</v>
      </c>
      <c r="E22" s="24"/>
      <c r="F22" s="24"/>
      <c r="G22" s="25" t="s">
        <v>43</v>
      </c>
      <c r="H22" s="24"/>
      <c r="I22" s="24"/>
      <c r="J22" s="26" t="str">
        <f>IF(Tableau13[[#This Row],[Probabilité]]&lt;&gt;"",Tableau13[[#This Row],[Probabilité]]*Tableau13[[#This Row],[Impact]],"")</f>
        <v/>
      </c>
      <c r="K22" s="24"/>
      <c r="L22" s="24"/>
      <c r="M22" s="24"/>
      <c r="N22" s="25"/>
      <c r="O22" s="25"/>
      <c r="P22" s="27"/>
      <c r="Q22" s="25"/>
      <c r="R22" s="25"/>
      <c r="S22"/>
    </row>
    <row r="23" spans="1:19" x14ac:dyDescent="0.55000000000000004">
      <c r="A23" s="23">
        <v>9</v>
      </c>
      <c r="B23" s="23" t="s">
        <v>40</v>
      </c>
      <c r="C23" s="28" t="s">
        <v>62</v>
      </c>
      <c r="D23" s="24" t="s">
        <v>63</v>
      </c>
      <c r="E23" s="24"/>
      <c r="F23" s="24"/>
      <c r="G23" s="25" t="s">
        <v>43</v>
      </c>
      <c r="H23" s="24"/>
      <c r="I23" s="24"/>
      <c r="J23" s="26" t="str">
        <f>IF(Tableau13[[#This Row],[Probabilité]]&lt;&gt;"",Tableau13[[#This Row],[Probabilité]]*Tableau13[[#This Row],[Impact]],"")</f>
        <v/>
      </c>
      <c r="K23" s="24"/>
      <c r="L23" s="24"/>
      <c r="M23" s="24"/>
      <c r="N23" s="25"/>
      <c r="O23" s="25"/>
      <c r="P23" s="27"/>
      <c r="Q23" s="25"/>
      <c r="R23" s="25"/>
      <c r="S23"/>
    </row>
    <row r="24" spans="1:19" x14ac:dyDescent="0.55000000000000004">
      <c r="A24" s="23">
        <v>10</v>
      </c>
      <c r="B24" s="23" t="s">
        <v>40</v>
      </c>
      <c r="C24" s="28" t="s">
        <v>64</v>
      </c>
      <c r="D24" s="24" t="s">
        <v>65</v>
      </c>
      <c r="E24" s="24"/>
      <c r="F24" s="24"/>
      <c r="G24" s="25" t="s">
        <v>43</v>
      </c>
      <c r="H24" s="24"/>
      <c r="I24" s="24"/>
      <c r="J24" s="26" t="str">
        <f>IF(Tableau13[[#This Row],[Probabilité]]&lt;&gt;"",Tableau13[[#This Row],[Probabilité]]*Tableau13[[#This Row],[Impact]],"")</f>
        <v/>
      </c>
      <c r="K24" s="24"/>
      <c r="L24" s="24"/>
      <c r="M24" s="24"/>
      <c r="N24" s="25"/>
      <c r="O24" s="25"/>
      <c r="P24" s="27"/>
      <c r="Q24" s="25"/>
      <c r="R24" s="25"/>
      <c r="S24"/>
    </row>
    <row r="25" spans="1:19" x14ac:dyDescent="0.55000000000000004">
      <c r="A25" s="23">
        <v>11</v>
      </c>
      <c r="B25" s="23" t="s">
        <v>40</v>
      </c>
      <c r="C25" s="28" t="s">
        <v>66</v>
      </c>
      <c r="D25" s="24" t="s">
        <v>67</v>
      </c>
      <c r="E25" s="24"/>
      <c r="F25" s="24"/>
      <c r="G25" s="25" t="s">
        <v>43</v>
      </c>
      <c r="H25" s="24"/>
      <c r="I25" s="24"/>
      <c r="J25" s="26" t="str">
        <f>IF(Tableau13[[#This Row],[Probabilité]]&lt;&gt;"",Tableau13[[#This Row],[Probabilité]]*Tableau13[[#This Row],[Impact]],"")</f>
        <v/>
      </c>
      <c r="K25" s="24"/>
      <c r="L25" s="24"/>
      <c r="M25" s="24"/>
      <c r="N25" s="25"/>
      <c r="O25" s="25"/>
      <c r="P25" s="27"/>
      <c r="Q25" s="25"/>
      <c r="R25" s="25"/>
      <c r="S25"/>
    </row>
    <row r="26" spans="1:19" ht="28.8" x14ac:dyDescent="0.55000000000000004">
      <c r="A26" s="23">
        <v>12</v>
      </c>
      <c r="B26" s="23" t="s">
        <v>40</v>
      </c>
      <c r="C26" s="28" t="s">
        <v>68</v>
      </c>
      <c r="D26" s="24" t="s">
        <v>69</v>
      </c>
      <c r="E26" s="24"/>
      <c r="F26" s="24"/>
      <c r="G26" s="25" t="s">
        <v>43</v>
      </c>
      <c r="H26" s="24"/>
      <c r="I26" s="24"/>
      <c r="J26" s="26" t="str">
        <f>IF(Tableau13[[#This Row],[Probabilité]]&lt;&gt;"",Tableau13[[#This Row],[Probabilité]]*Tableau13[[#This Row],[Impact]],"")</f>
        <v/>
      </c>
      <c r="K26" s="24"/>
      <c r="L26" s="24"/>
      <c r="M26" s="24"/>
      <c r="N26" s="25"/>
      <c r="O26" s="25"/>
      <c r="P26" s="27"/>
      <c r="Q26" s="25"/>
      <c r="R26" s="25"/>
      <c r="S26"/>
    </row>
    <row r="27" spans="1:19" x14ac:dyDescent="0.55000000000000004">
      <c r="A27" s="23">
        <v>13</v>
      </c>
      <c r="B27" s="23" t="s">
        <v>40</v>
      </c>
      <c r="C27" s="28" t="s">
        <v>70</v>
      </c>
      <c r="D27" s="24" t="s">
        <v>71</v>
      </c>
      <c r="E27" s="24"/>
      <c r="F27" s="24"/>
      <c r="G27" s="25" t="s">
        <v>43</v>
      </c>
      <c r="H27" s="24"/>
      <c r="I27" s="24"/>
      <c r="J27" s="26" t="str">
        <f>IF(Tableau13[[#This Row],[Probabilité]]&lt;&gt;"",Tableau13[[#This Row],[Probabilité]]*Tableau13[[#This Row],[Impact]],"")</f>
        <v/>
      </c>
      <c r="K27" s="24"/>
      <c r="L27" s="24"/>
      <c r="M27" s="24"/>
      <c r="N27" s="25"/>
      <c r="O27" s="25"/>
      <c r="P27" s="27"/>
      <c r="Q27" s="25"/>
      <c r="R27" s="25"/>
      <c r="S27"/>
    </row>
    <row r="28" spans="1:19" x14ac:dyDescent="0.55000000000000004">
      <c r="A28" s="23">
        <v>14</v>
      </c>
      <c r="B28" s="28"/>
      <c r="C28" s="28" t="s">
        <v>72</v>
      </c>
      <c r="D28" s="24" t="s">
        <v>73</v>
      </c>
      <c r="E28" s="24"/>
      <c r="F28" s="24"/>
      <c r="G28" s="25" t="s">
        <v>43</v>
      </c>
      <c r="H28" s="24"/>
      <c r="I28" s="24"/>
      <c r="J28" s="26" t="str">
        <f>IF(Tableau13[[#This Row],[Probabilité]]&lt;&gt;"",Tableau13[[#This Row],[Probabilité]]*Tableau13[[#This Row],[Impact]],"")</f>
        <v/>
      </c>
      <c r="K28" s="24"/>
      <c r="L28" s="24"/>
      <c r="M28" s="24"/>
      <c r="N28" s="25"/>
      <c r="O28" s="25"/>
      <c r="P28" s="27"/>
      <c r="Q28" s="25"/>
      <c r="R28" s="25"/>
      <c r="S28"/>
    </row>
    <row r="29" spans="1:19" x14ac:dyDescent="0.55000000000000004">
      <c r="A29" s="29"/>
      <c r="B29" s="23"/>
      <c r="C29" s="28"/>
      <c r="D29" s="24"/>
      <c r="E29" s="24"/>
      <c r="F29" s="24"/>
      <c r="G29" s="25"/>
      <c r="H29" s="24"/>
      <c r="I29" s="24"/>
      <c r="J29" s="26"/>
      <c r="K29" s="24"/>
      <c r="L29" s="24"/>
      <c r="M29" s="24"/>
      <c r="N29" s="25"/>
      <c r="O29" s="25"/>
      <c r="P29" s="27"/>
      <c r="Q29" s="25"/>
      <c r="R29" s="25"/>
      <c r="S29"/>
    </row>
    <row r="30" spans="1:19" x14ac:dyDescent="0.55000000000000004">
      <c r="A30" s="29"/>
      <c r="B30" s="23"/>
      <c r="C30" s="28"/>
      <c r="D30" s="24"/>
      <c r="E30" s="24"/>
      <c r="F30" s="24"/>
      <c r="G30" s="25"/>
      <c r="H30" s="24"/>
      <c r="I30" s="24"/>
      <c r="J30" s="26"/>
      <c r="K30" s="24"/>
      <c r="L30" s="24"/>
      <c r="M30" s="24"/>
      <c r="N30" s="25"/>
      <c r="O30" s="25"/>
      <c r="P30" s="27"/>
      <c r="Q30" s="25"/>
      <c r="R30" s="25"/>
      <c r="S30"/>
    </row>
    <row r="31" spans="1:19" x14ac:dyDescent="0.55000000000000004">
      <c r="A31" s="29"/>
      <c r="B31" s="23"/>
      <c r="C31" s="28"/>
      <c r="D31" s="24"/>
      <c r="E31" s="24"/>
      <c r="F31" s="24"/>
      <c r="G31" s="25"/>
      <c r="H31" s="24"/>
      <c r="I31" s="24"/>
      <c r="J31" s="26"/>
      <c r="K31" s="24"/>
      <c r="L31" s="24"/>
      <c r="M31" s="24"/>
      <c r="N31" s="25"/>
      <c r="O31" s="25"/>
      <c r="P31" s="27"/>
      <c r="Q31" s="25"/>
      <c r="R31" s="25"/>
      <c r="S31"/>
    </row>
    <row r="32" spans="1:19" x14ac:dyDescent="0.55000000000000004">
      <c r="A32" s="29"/>
      <c r="B32" s="23"/>
      <c r="C32" s="28"/>
      <c r="D32" s="24"/>
      <c r="E32" s="24"/>
      <c r="F32" s="24"/>
      <c r="G32" s="25"/>
      <c r="H32" s="24"/>
      <c r="I32" s="24"/>
      <c r="J32" s="26"/>
      <c r="K32" s="24"/>
      <c r="L32" s="24"/>
      <c r="M32" s="24"/>
      <c r="N32" s="25"/>
      <c r="O32" s="25"/>
      <c r="P32" s="27"/>
      <c r="Q32" s="25"/>
      <c r="R32" s="25"/>
      <c r="S32"/>
    </row>
    <row r="33" spans="1:19" x14ac:dyDescent="0.55000000000000004">
      <c r="A33" s="29"/>
      <c r="B33" s="23"/>
      <c r="C33" s="28"/>
      <c r="D33" s="24"/>
      <c r="E33" s="24"/>
      <c r="F33" s="24"/>
      <c r="G33" s="25"/>
      <c r="H33" s="24"/>
      <c r="I33" s="24"/>
      <c r="J33" s="26"/>
      <c r="K33" s="24"/>
      <c r="L33" s="24"/>
      <c r="M33" s="24"/>
      <c r="N33" s="25"/>
      <c r="O33" s="25"/>
      <c r="P33" s="27"/>
      <c r="Q33" s="25"/>
      <c r="R33" s="25"/>
      <c r="S33"/>
    </row>
    <row r="34" spans="1:19" x14ac:dyDescent="0.55000000000000004">
      <c r="A34" s="29"/>
      <c r="B34" s="23"/>
      <c r="C34" s="28"/>
      <c r="D34" s="24"/>
      <c r="E34" s="24"/>
      <c r="F34" s="24"/>
      <c r="G34" s="25"/>
      <c r="H34" s="24"/>
      <c r="I34" s="24"/>
      <c r="J34" s="26"/>
      <c r="K34" s="24"/>
      <c r="L34" s="24"/>
      <c r="M34" s="24"/>
      <c r="N34" s="25"/>
      <c r="O34" s="25"/>
      <c r="P34" s="27"/>
      <c r="Q34" s="25"/>
      <c r="R34" s="25"/>
      <c r="S34"/>
    </row>
    <row r="35" spans="1:19" x14ac:dyDescent="0.55000000000000004">
      <c r="A35" s="29"/>
      <c r="B35" s="23"/>
      <c r="C35" s="28"/>
      <c r="D35" s="24"/>
      <c r="E35" s="24"/>
      <c r="F35" s="24"/>
      <c r="G35" s="25"/>
      <c r="H35" s="24"/>
      <c r="I35" s="24"/>
      <c r="J35" s="26"/>
      <c r="K35" s="24"/>
      <c r="L35" s="24"/>
      <c r="M35" s="24"/>
      <c r="N35" s="25"/>
      <c r="O35" s="25"/>
      <c r="P35" s="27"/>
      <c r="Q35" s="25"/>
      <c r="R35" s="25"/>
      <c r="S35"/>
    </row>
    <row r="36" spans="1:19" x14ac:dyDescent="0.55000000000000004">
      <c r="A36" s="29"/>
      <c r="B36" s="23"/>
      <c r="C36" s="28"/>
      <c r="D36" s="24"/>
      <c r="E36" s="24"/>
      <c r="F36" s="24"/>
      <c r="G36" s="25"/>
      <c r="H36" s="24"/>
      <c r="I36" s="24"/>
      <c r="J36" s="26"/>
      <c r="K36" s="24"/>
      <c r="L36" s="24"/>
      <c r="M36" s="24"/>
      <c r="N36" s="25"/>
      <c r="O36" s="25"/>
      <c r="P36" s="27"/>
      <c r="Q36" s="25"/>
      <c r="R36" s="25"/>
      <c r="S36"/>
    </row>
    <row r="37" spans="1:19" x14ac:dyDescent="0.55000000000000004">
      <c r="A37" s="29"/>
      <c r="B37" s="23"/>
      <c r="C37" s="28"/>
      <c r="D37" s="24"/>
      <c r="E37" s="24"/>
      <c r="F37" s="24"/>
      <c r="G37" s="25"/>
      <c r="H37" s="24"/>
      <c r="I37" s="24"/>
      <c r="J37" s="26"/>
      <c r="K37" s="24"/>
      <c r="L37" s="24"/>
      <c r="M37" s="24"/>
      <c r="N37" s="25"/>
      <c r="O37" s="25"/>
      <c r="P37" s="27"/>
      <c r="Q37" s="25"/>
      <c r="R37" s="25"/>
      <c r="S37"/>
    </row>
    <row r="38" spans="1:19" x14ac:dyDescent="0.55000000000000004">
      <c r="A38" s="29"/>
      <c r="B38" s="23"/>
      <c r="C38" s="28"/>
      <c r="D38" s="24"/>
      <c r="E38" s="24"/>
      <c r="F38" s="24"/>
      <c r="G38" s="25"/>
      <c r="H38" s="24"/>
      <c r="I38" s="24"/>
      <c r="J38" s="26"/>
      <c r="K38" s="24"/>
      <c r="L38" s="24"/>
      <c r="M38" s="24"/>
      <c r="N38" s="25"/>
      <c r="O38" s="25"/>
      <c r="P38" s="27"/>
      <c r="Q38" s="25"/>
      <c r="R38" s="25"/>
      <c r="S38"/>
    </row>
    <row r="39" spans="1:19" x14ac:dyDescent="0.55000000000000004">
      <c r="A39" s="29"/>
      <c r="B39" s="23"/>
      <c r="C39" s="28"/>
      <c r="D39" s="24"/>
      <c r="E39" s="24"/>
      <c r="F39" s="24"/>
      <c r="G39" s="25"/>
      <c r="H39" s="24"/>
      <c r="I39" s="24"/>
      <c r="J39" s="26"/>
      <c r="K39" s="24"/>
      <c r="L39" s="24"/>
      <c r="M39" s="24"/>
      <c r="N39" s="25"/>
      <c r="O39" s="25"/>
      <c r="P39" s="27"/>
      <c r="Q39" s="25"/>
      <c r="R39" s="25"/>
      <c r="S39"/>
    </row>
    <row r="40" spans="1:19" x14ac:dyDescent="0.55000000000000004">
      <c r="A40" s="29"/>
      <c r="B40" s="23"/>
      <c r="C40" s="28"/>
      <c r="D40" s="24"/>
      <c r="E40" s="24"/>
      <c r="F40" s="24"/>
      <c r="G40" s="25"/>
      <c r="H40" s="24"/>
      <c r="I40" s="24"/>
      <c r="J40" s="26"/>
      <c r="K40" s="24"/>
      <c r="L40" s="24"/>
      <c r="M40" s="24"/>
      <c r="N40" s="25"/>
      <c r="O40" s="25"/>
      <c r="P40" s="27"/>
      <c r="Q40" s="25"/>
      <c r="R40" s="25"/>
      <c r="S40"/>
    </row>
    <row r="41" spans="1:19" x14ac:dyDescent="0.55000000000000004">
      <c r="A41" s="29"/>
      <c r="B41" s="23"/>
      <c r="C41" s="28"/>
      <c r="D41" s="24"/>
      <c r="E41" s="24"/>
      <c r="F41" s="24"/>
      <c r="G41" s="25"/>
      <c r="H41" s="24"/>
      <c r="I41" s="24"/>
      <c r="J41" s="26"/>
      <c r="K41" s="24"/>
      <c r="L41" s="24"/>
      <c r="M41" s="24"/>
      <c r="N41" s="25"/>
      <c r="O41" s="25"/>
      <c r="P41" s="27"/>
      <c r="Q41" s="25"/>
      <c r="R41" s="25"/>
      <c r="S41"/>
    </row>
    <row r="42" spans="1:19" x14ac:dyDescent="0.55000000000000004">
      <c r="A42" s="29"/>
      <c r="B42" s="23"/>
      <c r="C42" s="28"/>
      <c r="D42" s="24"/>
      <c r="E42" s="24"/>
      <c r="F42" s="24"/>
      <c r="G42" s="25"/>
      <c r="H42" s="24"/>
      <c r="I42" s="24"/>
      <c r="J42" s="26"/>
      <c r="K42" s="24"/>
      <c r="L42" s="24"/>
      <c r="M42" s="24"/>
      <c r="N42" s="25"/>
      <c r="O42" s="25"/>
      <c r="P42" s="27"/>
      <c r="Q42" s="25"/>
      <c r="R42" s="25"/>
      <c r="S42"/>
    </row>
    <row r="43" spans="1:19" x14ac:dyDescent="0.55000000000000004">
      <c r="A43" s="29"/>
      <c r="B43" s="23"/>
      <c r="C43" s="28"/>
      <c r="D43" s="24"/>
      <c r="E43" s="24"/>
      <c r="F43" s="24"/>
      <c r="G43" s="25"/>
      <c r="H43" s="24"/>
      <c r="I43" s="24"/>
      <c r="J43" s="26"/>
      <c r="K43" s="24"/>
      <c r="L43" s="24"/>
      <c r="M43" s="24"/>
      <c r="N43" s="25"/>
      <c r="O43" s="25"/>
      <c r="P43" s="27"/>
      <c r="Q43" s="25"/>
      <c r="R43" s="25"/>
      <c r="S43"/>
    </row>
    <row r="44" spans="1:19" x14ac:dyDescent="0.55000000000000004">
      <c r="A44" s="29"/>
      <c r="B44" s="23"/>
      <c r="C44" s="28"/>
      <c r="D44" s="24"/>
      <c r="E44" s="24"/>
      <c r="F44" s="24"/>
      <c r="G44" s="25"/>
      <c r="H44" s="24"/>
      <c r="I44" s="24"/>
      <c r="J44" s="26"/>
      <c r="K44" s="24"/>
      <c r="L44" s="24"/>
      <c r="M44" s="24"/>
      <c r="N44" s="25"/>
      <c r="O44" s="25"/>
      <c r="P44" s="27"/>
      <c r="Q44" s="25"/>
      <c r="R44" s="25"/>
      <c r="S44"/>
    </row>
    <row r="45" spans="1:19" x14ac:dyDescent="0.55000000000000004">
      <c r="A45" s="29"/>
      <c r="B45" s="23"/>
      <c r="C45" s="28"/>
      <c r="D45" s="24"/>
      <c r="E45" s="24"/>
      <c r="F45" s="24"/>
      <c r="G45" s="25"/>
      <c r="H45" s="24"/>
      <c r="I45" s="24"/>
      <c r="J45" s="26"/>
      <c r="K45" s="24"/>
      <c r="L45" s="24"/>
      <c r="M45" s="24"/>
      <c r="N45" s="25"/>
      <c r="O45" s="25"/>
      <c r="P45" s="27"/>
      <c r="Q45" s="25"/>
      <c r="R45" s="25"/>
      <c r="S45"/>
    </row>
    <row r="46" spans="1:19" ht="15.6" x14ac:dyDescent="0.55000000000000004">
      <c r="A46" s="29"/>
      <c r="B46" s="28"/>
      <c r="C46" s="24"/>
      <c r="D46" s="30"/>
      <c r="E46" s="30"/>
      <c r="F46" s="30"/>
      <c r="G46" s="24"/>
      <c r="H46" s="30"/>
      <c r="I46" s="30"/>
      <c r="J46" s="31" t="str">
        <f>IF(Tableau13[[#This Row],[Probabilité]]&lt;&gt;"",Tableau13[[#This Row],[Probabilité]]*Tableau13[[#This Row],[Impact]],"")</f>
        <v/>
      </c>
      <c r="K46" s="30"/>
      <c r="L46" s="30"/>
      <c r="M46" s="30"/>
      <c r="N46" s="32"/>
      <c r="O46" s="25"/>
      <c r="P46" s="33"/>
      <c r="Q46" s="25"/>
      <c r="R46" s="24"/>
      <c r="S46"/>
    </row>
    <row r="47" spans="1:19" ht="15.6" x14ac:dyDescent="0.55000000000000004">
      <c r="A47" s="29"/>
      <c r="B47" s="28"/>
      <c r="C47" s="24"/>
      <c r="D47" s="30"/>
      <c r="E47" s="30"/>
      <c r="F47" s="30"/>
      <c r="G47" s="24"/>
      <c r="H47" s="30"/>
      <c r="I47" s="30"/>
      <c r="J47" s="31" t="str">
        <f>IF(Tableau13[[#This Row],[Probabilité]]&lt;&gt;"",Tableau13[[#This Row],[Probabilité]]*Tableau13[[#This Row],[Impact]],"")</f>
        <v/>
      </c>
      <c r="K47" s="30"/>
      <c r="L47" s="30"/>
      <c r="M47" s="30"/>
      <c r="N47" s="32"/>
      <c r="O47" s="25"/>
      <c r="P47" s="33"/>
      <c r="Q47" s="25"/>
      <c r="R47" s="24"/>
      <c r="S47"/>
    </row>
    <row r="48" spans="1:19" ht="15.6" x14ac:dyDescent="0.55000000000000004">
      <c r="A48" s="29"/>
      <c r="B48" s="28"/>
      <c r="C48" s="24"/>
      <c r="D48" s="30"/>
      <c r="E48" s="30"/>
      <c r="F48" s="30"/>
      <c r="G48" s="24"/>
      <c r="H48" s="30"/>
      <c r="I48" s="30"/>
      <c r="J48" s="31" t="str">
        <f>IF(Tableau13[[#This Row],[Probabilité]]&lt;&gt;"",Tableau13[[#This Row],[Probabilité]]*Tableau13[[#This Row],[Impact]],"")</f>
        <v/>
      </c>
      <c r="K48" s="30"/>
      <c r="L48" s="30"/>
      <c r="M48" s="30"/>
      <c r="N48" s="32"/>
      <c r="O48" s="25"/>
      <c r="P48" s="33"/>
      <c r="Q48" s="25"/>
      <c r="R48" s="24"/>
      <c r="S48"/>
    </row>
    <row r="49" spans="1:19" ht="15.6" x14ac:dyDescent="0.55000000000000004">
      <c r="A49" s="29"/>
      <c r="B49" s="28"/>
      <c r="C49" s="24"/>
      <c r="D49" s="30"/>
      <c r="E49" s="30"/>
      <c r="F49" s="30"/>
      <c r="G49" s="24"/>
      <c r="H49" s="30"/>
      <c r="I49" s="30"/>
      <c r="J49" s="31" t="str">
        <f>IF(Tableau13[[#This Row],[Probabilité]]&lt;&gt;"",Tableau13[[#This Row],[Probabilité]]*Tableau13[[#This Row],[Impact]],"")</f>
        <v/>
      </c>
      <c r="K49" s="30"/>
      <c r="L49" s="30"/>
      <c r="M49" s="30"/>
      <c r="N49" s="32"/>
      <c r="O49" s="25"/>
      <c r="P49" s="33"/>
      <c r="Q49" s="25"/>
      <c r="R49" s="24"/>
      <c r="S49"/>
    </row>
    <row r="50" spans="1:19" ht="15.6" x14ac:dyDescent="0.55000000000000004">
      <c r="A50" s="29"/>
      <c r="B50" s="28"/>
      <c r="C50" s="24"/>
      <c r="D50" s="30"/>
      <c r="E50" s="30"/>
      <c r="F50" s="30"/>
      <c r="G50" s="24"/>
      <c r="H50" s="30"/>
      <c r="I50" s="30"/>
      <c r="J50" s="31" t="str">
        <f>IF(Tableau13[[#This Row],[Probabilité]]&lt;&gt;"",Tableau13[[#This Row],[Probabilité]]*Tableau13[[#This Row],[Impact]],"")</f>
        <v/>
      </c>
      <c r="K50" s="30"/>
      <c r="L50" s="30"/>
      <c r="M50" s="30"/>
      <c r="N50" s="32"/>
      <c r="O50" s="25"/>
      <c r="P50" s="33"/>
      <c r="Q50" s="25"/>
      <c r="R50" s="24"/>
      <c r="S50"/>
    </row>
    <row r="51" spans="1:19" ht="15.6" x14ac:dyDescent="0.55000000000000004">
      <c r="A51" s="29"/>
      <c r="B51" s="28"/>
      <c r="C51" s="24"/>
      <c r="D51" s="30"/>
      <c r="E51" s="30"/>
      <c r="F51" s="30"/>
      <c r="G51" s="24"/>
      <c r="H51" s="30"/>
      <c r="I51" s="30"/>
      <c r="J51" s="31" t="str">
        <f>IF(Tableau13[[#This Row],[Probabilité]]&lt;&gt;"",Tableau13[[#This Row],[Probabilité]]*Tableau13[[#This Row],[Impact]],"")</f>
        <v/>
      </c>
      <c r="K51" s="30"/>
      <c r="L51" s="30"/>
      <c r="M51" s="30"/>
      <c r="N51" s="32"/>
      <c r="O51" s="25"/>
      <c r="P51" s="33"/>
      <c r="Q51" s="25"/>
      <c r="R51" s="24"/>
      <c r="S51"/>
    </row>
    <row r="52" spans="1:19" ht="15.6" x14ac:dyDescent="0.55000000000000004">
      <c r="A52" s="29"/>
      <c r="B52" s="28"/>
      <c r="C52" s="24"/>
      <c r="D52" s="30"/>
      <c r="E52" s="30"/>
      <c r="F52" s="30"/>
      <c r="G52" s="24"/>
      <c r="H52" s="30"/>
      <c r="I52" s="30"/>
      <c r="J52" s="31" t="str">
        <f>IF(Tableau13[[#This Row],[Probabilité]]&lt;&gt;"",Tableau13[[#This Row],[Probabilité]]*Tableau13[[#This Row],[Impact]],"")</f>
        <v/>
      </c>
      <c r="K52" s="30"/>
      <c r="L52" s="30"/>
      <c r="M52" s="30"/>
      <c r="N52" s="32"/>
      <c r="O52" s="25"/>
      <c r="P52" s="33"/>
      <c r="Q52" s="25"/>
      <c r="R52" s="24"/>
      <c r="S52"/>
    </row>
    <row r="53" spans="1:19" ht="15.6" x14ac:dyDescent="0.55000000000000004">
      <c r="A53" s="29"/>
      <c r="B53" s="28"/>
      <c r="C53" s="24"/>
      <c r="D53" s="30"/>
      <c r="E53" s="30"/>
      <c r="F53" s="30"/>
      <c r="G53" s="24"/>
      <c r="H53" s="30"/>
      <c r="I53" s="30"/>
      <c r="J53" s="31" t="str">
        <f>IF(Tableau13[[#This Row],[Probabilité]]&lt;&gt;"",Tableau13[[#This Row],[Probabilité]]*Tableau13[[#This Row],[Impact]],"")</f>
        <v/>
      </c>
      <c r="K53" s="30"/>
      <c r="L53" s="30"/>
      <c r="M53" s="30"/>
      <c r="N53" s="32"/>
      <c r="O53" s="25"/>
      <c r="P53" s="33"/>
      <c r="Q53" s="25"/>
      <c r="R53" s="24"/>
      <c r="S53"/>
    </row>
    <row r="54" spans="1:19" ht="15.6" x14ac:dyDescent="0.55000000000000004">
      <c r="A54" s="29"/>
      <c r="B54" s="28"/>
      <c r="C54" s="24"/>
      <c r="D54" s="30"/>
      <c r="E54" s="30"/>
      <c r="F54" s="30"/>
      <c r="G54" s="24"/>
      <c r="H54" s="30"/>
      <c r="I54" s="30"/>
      <c r="J54" s="31" t="str">
        <f>IF(Tableau13[[#This Row],[Probabilité]]&lt;&gt;"",Tableau13[[#This Row],[Probabilité]]*Tableau13[[#This Row],[Impact]],"")</f>
        <v/>
      </c>
      <c r="K54" s="30"/>
      <c r="L54" s="30"/>
      <c r="M54" s="30"/>
      <c r="N54" s="32"/>
      <c r="O54" s="25"/>
      <c r="P54" s="33"/>
      <c r="Q54" s="25"/>
      <c r="R54" s="24"/>
      <c r="S54"/>
    </row>
    <row r="55" spans="1:19" ht="15.6" x14ac:dyDescent="0.55000000000000004">
      <c r="A55" s="29"/>
      <c r="B55" s="28"/>
      <c r="C55" s="24"/>
      <c r="D55" s="30"/>
      <c r="E55" s="30"/>
      <c r="F55" s="30"/>
      <c r="G55" s="24"/>
      <c r="H55" s="30"/>
      <c r="I55" s="30"/>
      <c r="J55" s="31" t="str">
        <f>IF(Tableau13[[#This Row],[Probabilité]]&lt;&gt;"",Tableau13[[#This Row],[Probabilité]]*Tableau13[[#This Row],[Impact]],"")</f>
        <v/>
      </c>
      <c r="K55" s="30"/>
      <c r="L55" s="30"/>
      <c r="M55" s="30"/>
      <c r="N55" s="32"/>
      <c r="O55" s="25"/>
      <c r="P55" s="33"/>
      <c r="Q55" s="25"/>
      <c r="R55" s="24"/>
      <c r="S55"/>
    </row>
    <row r="56" spans="1:19" ht="15.6" x14ac:dyDescent="0.55000000000000004">
      <c r="A56" s="29"/>
      <c r="B56" s="28"/>
      <c r="C56" s="24"/>
      <c r="D56" s="30"/>
      <c r="E56" s="30"/>
      <c r="F56" s="30"/>
      <c r="G56" s="24"/>
      <c r="H56" s="30"/>
      <c r="I56" s="30"/>
      <c r="J56" s="31" t="str">
        <f>IF(Tableau13[[#This Row],[Probabilité]]&lt;&gt;"",Tableau13[[#This Row],[Probabilité]]*Tableau13[[#This Row],[Impact]],"")</f>
        <v/>
      </c>
      <c r="K56" s="30"/>
      <c r="L56" s="30"/>
      <c r="M56" s="30"/>
      <c r="N56" s="32"/>
      <c r="O56" s="25"/>
      <c r="P56" s="33"/>
      <c r="Q56" s="25"/>
      <c r="R56" s="24"/>
      <c r="S56"/>
    </row>
    <row r="57" spans="1:19" ht="15.6" x14ac:dyDescent="0.55000000000000004">
      <c r="A57" s="29"/>
      <c r="B57" s="28"/>
      <c r="C57" s="24"/>
      <c r="D57" s="30"/>
      <c r="E57" s="30"/>
      <c r="F57" s="30"/>
      <c r="G57" s="24"/>
      <c r="H57" s="30"/>
      <c r="I57" s="30"/>
      <c r="J57" s="31" t="str">
        <f>IF(Tableau13[[#This Row],[Probabilité]]&lt;&gt;"",Tableau13[[#This Row],[Probabilité]]*Tableau13[[#This Row],[Impact]],"")</f>
        <v/>
      </c>
      <c r="K57" s="30"/>
      <c r="L57" s="30"/>
      <c r="M57" s="30"/>
      <c r="N57" s="32"/>
      <c r="O57" s="25"/>
      <c r="P57" s="33"/>
      <c r="Q57" s="25"/>
      <c r="R57" s="24"/>
      <c r="S57"/>
    </row>
    <row r="58" spans="1:19" ht="15.6" x14ac:dyDescent="0.55000000000000004">
      <c r="A58" s="29"/>
      <c r="B58" s="28"/>
      <c r="C58" s="24"/>
      <c r="D58" s="30"/>
      <c r="E58" s="30"/>
      <c r="F58" s="30"/>
      <c r="G58" s="24"/>
      <c r="H58" s="30"/>
      <c r="I58" s="30"/>
      <c r="J58" s="31" t="str">
        <f>IF(Tableau13[[#This Row],[Probabilité]]&lt;&gt;"",Tableau13[[#This Row],[Probabilité]]*Tableau13[[#This Row],[Impact]],"")</f>
        <v/>
      </c>
      <c r="K58" s="30"/>
      <c r="L58" s="30"/>
      <c r="M58" s="30"/>
      <c r="N58" s="32"/>
      <c r="O58" s="25"/>
      <c r="P58" s="33"/>
      <c r="Q58" s="25"/>
      <c r="R58" s="24"/>
      <c r="S58"/>
    </row>
    <row r="59" spans="1:19" ht="15.6" x14ac:dyDescent="0.55000000000000004">
      <c r="A59" s="29"/>
      <c r="B59" s="28"/>
      <c r="C59" s="24"/>
      <c r="D59" s="30"/>
      <c r="E59" s="30"/>
      <c r="F59" s="30"/>
      <c r="G59" s="24"/>
      <c r="H59" s="30"/>
      <c r="I59" s="30"/>
      <c r="J59" s="31" t="str">
        <f>IF(Tableau13[[#This Row],[Probabilité]]&lt;&gt;"",Tableau13[[#This Row],[Probabilité]]*Tableau13[[#This Row],[Impact]],"")</f>
        <v/>
      </c>
      <c r="K59" s="30"/>
      <c r="L59" s="30"/>
      <c r="M59" s="30"/>
      <c r="N59" s="32"/>
      <c r="O59" s="25"/>
      <c r="P59" s="33"/>
      <c r="Q59" s="25"/>
      <c r="R59" s="24"/>
      <c r="S59"/>
    </row>
    <row r="60" spans="1:19" ht="15.6" x14ac:dyDescent="0.55000000000000004">
      <c r="A60" s="29"/>
      <c r="B60" s="28"/>
      <c r="C60" s="24"/>
      <c r="D60" s="30"/>
      <c r="E60" s="30"/>
      <c r="F60" s="30"/>
      <c r="G60" s="24"/>
      <c r="H60" s="30"/>
      <c r="I60" s="30"/>
      <c r="J60" s="31" t="str">
        <f>IF(Tableau13[[#This Row],[Probabilité]]&lt;&gt;"",Tableau13[[#This Row],[Probabilité]]*Tableau13[[#This Row],[Impact]],"")</f>
        <v/>
      </c>
      <c r="K60" s="30"/>
      <c r="L60" s="30"/>
      <c r="M60" s="30"/>
      <c r="N60" s="32"/>
      <c r="O60" s="25"/>
      <c r="P60" s="33"/>
      <c r="Q60" s="25"/>
      <c r="R60" s="24"/>
      <c r="S60"/>
    </row>
    <row r="61" spans="1:19" ht="15.6" x14ac:dyDescent="0.55000000000000004">
      <c r="A61" s="29"/>
      <c r="B61" s="28"/>
      <c r="C61" s="24"/>
      <c r="D61" s="30"/>
      <c r="E61" s="30"/>
      <c r="F61" s="30"/>
      <c r="G61" s="24"/>
      <c r="H61" s="30"/>
      <c r="I61" s="30"/>
      <c r="J61" s="31" t="str">
        <f>IF(Tableau13[[#This Row],[Probabilité]]&lt;&gt;"",Tableau13[[#This Row],[Probabilité]]*Tableau13[[#This Row],[Impact]],"")</f>
        <v/>
      </c>
      <c r="K61" s="30"/>
      <c r="L61" s="30"/>
      <c r="M61" s="30"/>
      <c r="N61" s="32"/>
      <c r="O61" s="25"/>
      <c r="P61" s="33"/>
      <c r="Q61" s="25"/>
      <c r="R61" s="24"/>
      <c r="S61"/>
    </row>
    <row r="62" spans="1:19" ht="15.6" x14ac:dyDescent="0.55000000000000004">
      <c r="A62" s="29"/>
      <c r="B62" s="28"/>
      <c r="C62" s="24"/>
      <c r="D62" s="30"/>
      <c r="E62" s="30"/>
      <c r="F62" s="30"/>
      <c r="G62" s="24"/>
      <c r="H62" s="30"/>
      <c r="I62" s="30"/>
      <c r="J62" s="31" t="str">
        <f>IF(Tableau13[[#This Row],[Probabilité]]&lt;&gt;"",Tableau13[[#This Row],[Probabilité]]*Tableau13[[#This Row],[Impact]],"")</f>
        <v/>
      </c>
      <c r="K62" s="30"/>
      <c r="L62" s="30"/>
      <c r="M62" s="30"/>
      <c r="N62" s="32"/>
      <c r="O62" s="25"/>
      <c r="P62" s="33"/>
      <c r="Q62" s="25"/>
      <c r="R62" s="24"/>
      <c r="S62"/>
    </row>
    <row r="63" spans="1:19" ht="15.6" x14ac:dyDescent="0.55000000000000004">
      <c r="A63" s="29"/>
      <c r="B63" s="28"/>
      <c r="C63" s="24"/>
      <c r="D63" s="30"/>
      <c r="E63" s="30"/>
      <c r="F63" s="30"/>
      <c r="G63" s="24"/>
      <c r="H63" s="30"/>
      <c r="I63" s="30"/>
      <c r="J63" s="31" t="str">
        <f>IF(Tableau13[[#This Row],[Probabilité]]&lt;&gt;"",Tableau13[[#This Row],[Probabilité]]*Tableau13[[#This Row],[Impact]],"")</f>
        <v/>
      </c>
      <c r="K63" s="30"/>
      <c r="L63" s="30"/>
      <c r="M63" s="30"/>
      <c r="N63" s="32"/>
      <c r="O63" s="25"/>
      <c r="P63" s="33"/>
      <c r="Q63" s="25"/>
      <c r="R63" s="24"/>
      <c r="S63"/>
    </row>
    <row r="64" spans="1:19" ht="15.6" x14ac:dyDescent="0.55000000000000004">
      <c r="A64" s="29"/>
      <c r="B64" s="28"/>
      <c r="C64" s="24"/>
      <c r="D64" s="30"/>
      <c r="E64" s="30"/>
      <c r="F64" s="30"/>
      <c r="G64" s="24"/>
      <c r="H64" s="30"/>
      <c r="I64" s="30"/>
      <c r="J64" s="31" t="str">
        <f>IF(Tableau13[[#This Row],[Probabilité]]&lt;&gt;"",Tableau13[[#This Row],[Probabilité]]*Tableau13[[#This Row],[Impact]],"")</f>
        <v/>
      </c>
      <c r="K64" s="30"/>
      <c r="L64" s="30"/>
      <c r="M64" s="30"/>
      <c r="N64" s="32"/>
      <c r="O64" s="25"/>
      <c r="P64" s="33"/>
      <c r="Q64" s="25"/>
      <c r="R64" s="24"/>
      <c r="S64"/>
    </row>
    <row r="65" spans="1:19" ht="15.6" x14ac:dyDescent="0.55000000000000004">
      <c r="A65" s="29"/>
      <c r="B65" s="28"/>
      <c r="C65" s="24"/>
      <c r="D65" s="30"/>
      <c r="E65" s="30"/>
      <c r="F65" s="30"/>
      <c r="G65" s="24"/>
      <c r="H65" s="30"/>
      <c r="I65" s="30"/>
      <c r="J65" s="31" t="str">
        <f>IF(Tableau13[[#This Row],[Probabilité]]&lt;&gt;"",Tableau13[[#This Row],[Probabilité]]*Tableau13[[#This Row],[Impact]],"")</f>
        <v/>
      </c>
      <c r="K65" s="30"/>
      <c r="L65" s="30"/>
      <c r="M65" s="30"/>
      <c r="N65" s="32"/>
      <c r="O65" s="25"/>
      <c r="P65" s="33"/>
      <c r="Q65" s="25"/>
      <c r="R65" s="24"/>
      <c r="S65"/>
    </row>
    <row r="66" spans="1:19" ht="15.6" x14ac:dyDescent="0.55000000000000004">
      <c r="A66" s="29"/>
      <c r="B66" s="28"/>
      <c r="C66" s="24"/>
      <c r="D66" s="30"/>
      <c r="E66" s="30"/>
      <c r="F66" s="30"/>
      <c r="G66" s="24"/>
      <c r="H66" s="30"/>
      <c r="I66" s="30"/>
      <c r="J66" s="31" t="str">
        <f>IF(Tableau13[[#This Row],[Probabilité]]&lt;&gt;"",Tableau13[[#This Row],[Probabilité]]*Tableau13[[#This Row],[Impact]],"")</f>
        <v/>
      </c>
      <c r="K66" s="30"/>
      <c r="L66" s="30"/>
      <c r="M66" s="30"/>
      <c r="N66" s="32"/>
      <c r="O66" s="25"/>
      <c r="P66" s="33"/>
      <c r="Q66" s="25"/>
      <c r="R66" s="24"/>
      <c r="S66"/>
    </row>
    <row r="67" spans="1:19" ht="15.6" x14ac:dyDescent="0.55000000000000004">
      <c r="A67" s="29"/>
      <c r="B67" s="28"/>
      <c r="C67" s="24"/>
      <c r="D67" s="30"/>
      <c r="E67" s="30"/>
      <c r="F67" s="30"/>
      <c r="G67" s="24"/>
      <c r="H67" s="30"/>
      <c r="I67" s="30"/>
      <c r="J67" s="31" t="str">
        <f>IF(Tableau13[[#This Row],[Probabilité]]&lt;&gt;"",Tableau13[[#This Row],[Probabilité]]*Tableau13[[#This Row],[Impact]],"")</f>
        <v/>
      </c>
      <c r="K67" s="30"/>
      <c r="L67" s="30"/>
      <c r="M67" s="30"/>
      <c r="N67" s="32"/>
      <c r="O67" s="25"/>
      <c r="P67" s="33"/>
      <c r="Q67" s="25"/>
      <c r="R67" s="24"/>
      <c r="S67"/>
    </row>
    <row r="68" spans="1:19" ht="15.6" x14ac:dyDescent="0.55000000000000004">
      <c r="A68" s="29"/>
      <c r="B68" s="28"/>
      <c r="C68" s="24"/>
      <c r="D68" s="30"/>
      <c r="E68" s="30"/>
      <c r="F68" s="30"/>
      <c r="G68" s="24"/>
      <c r="H68" s="30"/>
      <c r="I68" s="30"/>
      <c r="J68" s="31" t="str">
        <f>IF(Tableau13[[#This Row],[Probabilité]]&lt;&gt;"",Tableau13[[#This Row],[Probabilité]]*Tableau13[[#This Row],[Impact]],"")</f>
        <v/>
      </c>
      <c r="K68" s="30"/>
      <c r="L68" s="30"/>
      <c r="M68" s="30"/>
      <c r="N68" s="32"/>
      <c r="O68" s="25"/>
      <c r="P68" s="33"/>
      <c r="Q68" s="25"/>
      <c r="R68" s="24"/>
      <c r="S68"/>
    </row>
    <row r="69" spans="1:19" ht="15.6" x14ac:dyDescent="0.55000000000000004">
      <c r="A69" s="29"/>
      <c r="B69" s="28"/>
      <c r="C69" s="24"/>
      <c r="D69" s="30"/>
      <c r="E69" s="30"/>
      <c r="F69" s="30"/>
      <c r="G69" s="24"/>
      <c r="H69" s="30"/>
      <c r="I69" s="30"/>
      <c r="J69" s="31" t="str">
        <f>IF(Tableau13[[#This Row],[Probabilité]]&lt;&gt;"",Tableau13[[#This Row],[Probabilité]]*Tableau13[[#This Row],[Impact]],"")</f>
        <v/>
      </c>
      <c r="K69" s="30"/>
      <c r="L69" s="30"/>
      <c r="M69" s="30"/>
      <c r="N69" s="32"/>
      <c r="O69" s="25"/>
      <c r="P69" s="33"/>
      <c r="Q69" s="25"/>
      <c r="R69" s="24"/>
      <c r="S69"/>
    </row>
    <row r="70" spans="1:19" ht="15.6" x14ac:dyDescent="0.55000000000000004">
      <c r="A70" s="29"/>
      <c r="B70" s="28"/>
      <c r="C70" s="24"/>
      <c r="D70" s="30"/>
      <c r="E70" s="30"/>
      <c r="F70" s="30"/>
      <c r="G70" s="24"/>
      <c r="H70" s="30"/>
      <c r="I70" s="30"/>
      <c r="J70" s="31" t="str">
        <f>IF(Tableau13[[#This Row],[Probabilité]]&lt;&gt;"",Tableau13[[#This Row],[Probabilité]]*Tableau13[[#This Row],[Impact]],"")</f>
        <v/>
      </c>
      <c r="K70" s="30"/>
      <c r="L70" s="30"/>
      <c r="M70" s="30"/>
      <c r="N70" s="32"/>
      <c r="O70" s="25"/>
      <c r="P70" s="33"/>
      <c r="Q70" s="25"/>
      <c r="R70" s="24"/>
      <c r="S70"/>
    </row>
    <row r="71" spans="1:19" ht="15.6" x14ac:dyDescent="0.55000000000000004">
      <c r="A71" s="29"/>
      <c r="B71" s="28"/>
      <c r="C71" s="24"/>
      <c r="D71" s="30"/>
      <c r="E71" s="30"/>
      <c r="F71" s="30"/>
      <c r="G71" s="24"/>
      <c r="H71" s="30"/>
      <c r="I71" s="30"/>
      <c r="J71" s="31" t="str">
        <f>IF(Tableau13[[#This Row],[Probabilité]]&lt;&gt;"",Tableau13[[#This Row],[Probabilité]]*Tableau13[[#This Row],[Impact]],"")</f>
        <v/>
      </c>
      <c r="K71" s="30"/>
      <c r="L71" s="30"/>
      <c r="M71" s="30"/>
      <c r="N71" s="32"/>
      <c r="O71" s="25"/>
      <c r="P71" s="33"/>
      <c r="Q71" s="25"/>
      <c r="R71" s="24"/>
      <c r="S71"/>
    </row>
    <row r="72" spans="1:19" ht="15.6" x14ac:dyDescent="0.55000000000000004">
      <c r="A72" s="29"/>
      <c r="B72" s="28"/>
      <c r="C72" s="24"/>
      <c r="D72" s="30"/>
      <c r="E72" s="30"/>
      <c r="F72" s="30"/>
      <c r="G72" s="24"/>
      <c r="H72" s="30"/>
      <c r="I72" s="30"/>
      <c r="J72" s="31" t="str">
        <f>IF(Tableau13[[#This Row],[Probabilité]]&lt;&gt;"",Tableau13[[#This Row],[Probabilité]]*Tableau13[[#This Row],[Impact]],"")</f>
        <v/>
      </c>
      <c r="K72" s="30"/>
      <c r="L72" s="30"/>
      <c r="M72" s="30"/>
      <c r="N72" s="32"/>
      <c r="O72" s="25"/>
      <c r="P72" s="33"/>
      <c r="Q72" s="25"/>
      <c r="R72" s="24"/>
      <c r="S72"/>
    </row>
    <row r="73" spans="1:19" ht="15.6" x14ac:dyDescent="0.55000000000000004">
      <c r="A73" s="29"/>
      <c r="B73" s="28"/>
      <c r="C73" s="24"/>
      <c r="D73" s="30"/>
      <c r="E73" s="30"/>
      <c r="F73" s="30"/>
      <c r="G73" s="24"/>
      <c r="H73" s="30"/>
      <c r="I73" s="30"/>
      <c r="J73" s="31" t="str">
        <f>IF(Tableau13[[#This Row],[Probabilité]]&lt;&gt;"",Tableau13[[#This Row],[Probabilité]]*Tableau13[[#This Row],[Impact]],"")</f>
        <v/>
      </c>
      <c r="K73" s="30"/>
      <c r="L73" s="30"/>
      <c r="M73" s="30"/>
      <c r="N73" s="32"/>
      <c r="O73" s="25"/>
      <c r="P73" s="33"/>
      <c r="Q73" s="25"/>
      <c r="R73" s="24"/>
      <c r="S73"/>
    </row>
    <row r="74" spans="1:19" ht="15.6" x14ac:dyDescent="0.55000000000000004">
      <c r="A74" s="29"/>
      <c r="B74" s="28"/>
      <c r="C74" s="24"/>
      <c r="D74" s="30"/>
      <c r="E74" s="30"/>
      <c r="F74" s="30"/>
      <c r="G74" s="24"/>
      <c r="H74" s="30"/>
      <c r="I74" s="30"/>
      <c r="J74" s="31" t="str">
        <f>IF(Tableau13[[#This Row],[Probabilité]]&lt;&gt;"",Tableau13[[#This Row],[Probabilité]]*Tableau13[[#This Row],[Impact]],"")</f>
        <v/>
      </c>
      <c r="K74" s="30"/>
      <c r="L74" s="30"/>
      <c r="M74" s="30"/>
      <c r="N74" s="32"/>
      <c r="O74" s="25"/>
      <c r="P74" s="33"/>
      <c r="Q74" s="25"/>
      <c r="R74" s="24"/>
      <c r="S74"/>
    </row>
    <row r="75" spans="1:19" ht="15.6" x14ac:dyDescent="0.55000000000000004">
      <c r="A75" s="29"/>
      <c r="B75" s="28"/>
      <c r="C75" s="24"/>
      <c r="D75" s="30"/>
      <c r="E75" s="30"/>
      <c r="F75" s="30"/>
      <c r="G75" s="24"/>
      <c r="H75" s="30"/>
      <c r="I75" s="30"/>
      <c r="J75" s="31" t="str">
        <f>IF(Tableau13[[#This Row],[Probabilité]]&lt;&gt;"",Tableau13[[#This Row],[Probabilité]]*Tableau13[[#This Row],[Impact]],"")</f>
        <v/>
      </c>
      <c r="K75" s="30"/>
      <c r="L75" s="30"/>
      <c r="M75" s="30"/>
      <c r="N75" s="32"/>
      <c r="O75" s="25"/>
      <c r="P75" s="33"/>
      <c r="Q75" s="25"/>
      <c r="R75" s="24"/>
      <c r="S75"/>
    </row>
    <row r="76" spans="1:19" ht="15.6" x14ac:dyDescent="0.55000000000000004">
      <c r="A76" s="29"/>
      <c r="B76" s="28"/>
      <c r="C76" s="24"/>
      <c r="D76" s="30"/>
      <c r="E76" s="30"/>
      <c r="F76" s="30"/>
      <c r="G76" s="24"/>
      <c r="H76" s="30"/>
      <c r="I76" s="30"/>
      <c r="J76" s="31" t="str">
        <f>IF(Tableau13[[#This Row],[Probabilité]]&lt;&gt;"",Tableau13[[#This Row],[Probabilité]]*Tableau13[[#This Row],[Impact]],"")</f>
        <v/>
      </c>
      <c r="K76" s="30"/>
      <c r="L76" s="30"/>
      <c r="M76" s="30"/>
      <c r="N76" s="32"/>
      <c r="O76" s="25"/>
      <c r="P76" s="33"/>
      <c r="Q76" s="25"/>
      <c r="R76" s="24"/>
      <c r="S76"/>
    </row>
    <row r="77" spans="1:19" ht="15.6" x14ac:dyDescent="0.55000000000000004">
      <c r="A77" s="29"/>
      <c r="B77" s="28"/>
      <c r="C77" s="24"/>
      <c r="D77" s="30"/>
      <c r="E77" s="30"/>
      <c r="F77" s="30"/>
      <c r="G77" s="24"/>
      <c r="H77" s="30"/>
      <c r="I77" s="30"/>
      <c r="J77" s="31" t="str">
        <f>IF(Tableau13[[#This Row],[Probabilité]]&lt;&gt;"",Tableau13[[#This Row],[Probabilité]]*Tableau13[[#This Row],[Impact]],"")</f>
        <v/>
      </c>
      <c r="K77" s="30"/>
      <c r="L77" s="30"/>
      <c r="M77" s="30"/>
      <c r="N77" s="32"/>
      <c r="O77" s="25"/>
      <c r="P77" s="33"/>
      <c r="Q77" s="25"/>
      <c r="R77" s="24"/>
      <c r="S77"/>
    </row>
    <row r="78" spans="1:19" ht="15.6" x14ac:dyDescent="0.55000000000000004">
      <c r="A78" s="29"/>
      <c r="B78" s="28"/>
      <c r="C78" s="24"/>
      <c r="D78" s="30"/>
      <c r="E78" s="30"/>
      <c r="F78" s="30"/>
      <c r="G78" s="24"/>
      <c r="H78" s="30"/>
      <c r="I78" s="30"/>
      <c r="J78" s="31" t="str">
        <f>IF(Tableau13[[#This Row],[Probabilité]]&lt;&gt;"",Tableau13[[#This Row],[Probabilité]]*Tableau13[[#This Row],[Impact]],"")</f>
        <v/>
      </c>
      <c r="K78" s="30"/>
      <c r="L78" s="30"/>
      <c r="M78" s="30"/>
      <c r="N78" s="32"/>
      <c r="O78" s="25"/>
      <c r="P78" s="33"/>
      <c r="Q78" s="25"/>
      <c r="R78" s="24"/>
      <c r="S78"/>
    </row>
    <row r="79" spans="1:19" ht="15.6" x14ac:dyDescent="0.55000000000000004">
      <c r="A79" s="29"/>
      <c r="B79" s="28"/>
      <c r="C79" s="24"/>
      <c r="D79" s="30"/>
      <c r="E79" s="30"/>
      <c r="F79" s="30"/>
      <c r="G79" s="24"/>
      <c r="H79" s="30"/>
      <c r="I79" s="30"/>
      <c r="J79" s="31" t="str">
        <f>IF(Tableau13[[#This Row],[Probabilité]]&lt;&gt;"",Tableau13[[#This Row],[Probabilité]]*Tableau13[[#This Row],[Impact]],"")</f>
        <v/>
      </c>
      <c r="K79" s="30"/>
      <c r="L79" s="30"/>
      <c r="M79" s="30"/>
      <c r="N79" s="32"/>
      <c r="O79" s="25"/>
      <c r="P79" s="33"/>
      <c r="Q79" s="25"/>
      <c r="R79" s="24"/>
      <c r="S79"/>
    </row>
    <row r="80" spans="1:19" ht="15.6" x14ac:dyDescent="0.55000000000000004">
      <c r="A80" s="29"/>
      <c r="B80" s="28"/>
      <c r="C80" s="24"/>
      <c r="D80" s="30"/>
      <c r="E80" s="30"/>
      <c r="F80" s="30"/>
      <c r="G80" s="24"/>
      <c r="H80" s="30"/>
      <c r="I80" s="30"/>
      <c r="J80" s="31" t="str">
        <f>IF(Tableau13[[#This Row],[Probabilité]]&lt;&gt;"",Tableau13[[#This Row],[Probabilité]]*Tableau13[[#This Row],[Impact]],"")</f>
        <v/>
      </c>
      <c r="K80" s="30"/>
      <c r="L80" s="30"/>
      <c r="M80" s="30"/>
      <c r="N80" s="32"/>
      <c r="O80" s="25"/>
      <c r="P80" s="33"/>
      <c r="Q80" s="25"/>
      <c r="R80" s="24"/>
      <c r="S80"/>
    </row>
    <row r="81" spans="1:19" ht="15.6" x14ac:dyDescent="0.55000000000000004">
      <c r="A81" s="29"/>
      <c r="B81" s="28"/>
      <c r="C81" s="24"/>
      <c r="D81" s="30"/>
      <c r="E81" s="30"/>
      <c r="F81" s="30"/>
      <c r="G81" s="24"/>
      <c r="H81" s="30"/>
      <c r="I81" s="30"/>
      <c r="J81" s="31" t="str">
        <f>IF(Tableau13[[#This Row],[Probabilité]]&lt;&gt;"",Tableau13[[#This Row],[Probabilité]]*Tableau13[[#This Row],[Impact]],"")</f>
        <v/>
      </c>
      <c r="K81" s="30"/>
      <c r="L81" s="30"/>
      <c r="M81" s="30"/>
      <c r="N81" s="32"/>
      <c r="O81" s="25"/>
      <c r="P81" s="33"/>
      <c r="Q81" s="25"/>
      <c r="R81" s="24"/>
      <c r="S81"/>
    </row>
    <row r="82" spans="1:19" ht="15.6" x14ac:dyDescent="0.55000000000000004">
      <c r="A82" s="29"/>
      <c r="B82" s="28"/>
      <c r="C82" s="24"/>
      <c r="D82" s="30"/>
      <c r="E82" s="30"/>
      <c r="F82" s="30"/>
      <c r="G82" s="24"/>
      <c r="H82" s="30"/>
      <c r="I82" s="30"/>
      <c r="J82" s="31" t="str">
        <f>IF(Tableau13[[#This Row],[Probabilité]]&lt;&gt;"",Tableau13[[#This Row],[Probabilité]]*Tableau13[[#This Row],[Impact]],"")</f>
        <v/>
      </c>
      <c r="K82" s="30"/>
      <c r="L82" s="30"/>
      <c r="M82" s="30"/>
      <c r="N82" s="32"/>
      <c r="O82" s="25"/>
      <c r="P82" s="33"/>
      <c r="Q82" s="25"/>
      <c r="R82" s="24"/>
      <c r="S82"/>
    </row>
    <row r="83" spans="1:19" ht="15.6" x14ac:dyDescent="0.55000000000000004">
      <c r="A83" s="29"/>
      <c r="B83" s="28"/>
      <c r="C83" s="24"/>
      <c r="D83" s="30"/>
      <c r="E83" s="30"/>
      <c r="F83" s="30"/>
      <c r="G83" s="24"/>
      <c r="H83" s="30"/>
      <c r="I83" s="30"/>
      <c r="J83" s="31" t="str">
        <f>IF(Tableau13[[#This Row],[Probabilité]]&lt;&gt;"",Tableau13[[#This Row],[Probabilité]]*Tableau13[[#This Row],[Impact]],"")</f>
        <v/>
      </c>
      <c r="K83" s="30"/>
      <c r="L83" s="30"/>
      <c r="M83" s="30"/>
      <c r="N83" s="32"/>
      <c r="O83" s="25"/>
      <c r="P83" s="33"/>
      <c r="Q83" s="25"/>
      <c r="R83" s="24"/>
      <c r="S83"/>
    </row>
    <row r="84" spans="1:19" ht="15.6" x14ac:dyDescent="0.55000000000000004">
      <c r="A84" s="29"/>
      <c r="B84" s="28"/>
      <c r="C84" s="24"/>
      <c r="D84" s="30"/>
      <c r="E84" s="30"/>
      <c r="F84" s="30"/>
      <c r="G84" s="24"/>
      <c r="H84" s="30"/>
      <c r="I84" s="30"/>
      <c r="J84" s="31" t="str">
        <f>IF(Tableau13[[#This Row],[Probabilité]]&lt;&gt;"",Tableau13[[#This Row],[Probabilité]]*Tableau13[[#This Row],[Impact]],"")</f>
        <v/>
      </c>
      <c r="K84" s="30"/>
      <c r="L84" s="30"/>
      <c r="M84" s="30"/>
      <c r="N84" s="32"/>
      <c r="O84" s="25"/>
      <c r="P84" s="33"/>
      <c r="Q84" s="25"/>
      <c r="R84" s="24"/>
      <c r="S84"/>
    </row>
    <row r="85" spans="1:19" ht="15.6" x14ac:dyDescent="0.55000000000000004">
      <c r="A85" s="29"/>
      <c r="B85" s="28"/>
      <c r="C85" s="24"/>
      <c r="D85" s="30"/>
      <c r="E85" s="30"/>
      <c r="F85" s="30"/>
      <c r="G85" s="24"/>
      <c r="H85" s="30"/>
      <c r="I85" s="30"/>
      <c r="J85" s="31" t="str">
        <f>IF(Tableau13[[#This Row],[Probabilité]]&lt;&gt;"",Tableau13[[#This Row],[Probabilité]]*Tableau13[[#This Row],[Impact]],"")</f>
        <v/>
      </c>
      <c r="K85" s="30"/>
      <c r="L85" s="30"/>
      <c r="M85" s="30"/>
      <c r="N85" s="32"/>
      <c r="O85" s="25"/>
      <c r="P85" s="33"/>
      <c r="Q85" s="25"/>
      <c r="R85" s="24"/>
      <c r="S85"/>
    </row>
    <row r="86" spans="1:19" ht="15.6" x14ac:dyDescent="0.55000000000000004">
      <c r="A86" s="29"/>
      <c r="B86" s="28"/>
      <c r="C86" s="24"/>
      <c r="D86" s="30"/>
      <c r="E86" s="30"/>
      <c r="F86" s="30"/>
      <c r="G86" s="24"/>
      <c r="H86" s="30"/>
      <c r="I86" s="30"/>
      <c r="J86" s="31" t="str">
        <f>IF(Tableau13[[#This Row],[Probabilité]]&lt;&gt;"",Tableau13[[#This Row],[Probabilité]]*Tableau13[[#This Row],[Impact]],"")</f>
        <v/>
      </c>
      <c r="K86" s="30"/>
      <c r="L86" s="30"/>
      <c r="M86" s="30"/>
      <c r="N86" s="32"/>
      <c r="O86" s="25"/>
      <c r="P86" s="33"/>
      <c r="Q86" s="25"/>
      <c r="R86" s="24"/>
      <c r="S86"/>
    </row>
    <row r="87" spans="1:19" ht="15.6" x14ac:dyDescent="0.55000000000000004">
      <c r="A87" s="29"/>
      <c r="B87" s="28"/>
      <c r="C87" s="24"/>
      <c r="D87" s="30"/>
      <c r="E87" s="30"/>
      <c r="F87" s="30"/>
      <c r="G87" s="24"/>
      <c r="H87" s="30"/>
      <c r="I87" s="30"/>
      <c r="J87" s="31" t="str">
        <f>IF(Tableau13[[#This Row],[Probabilité]]&lt;&gt;"",Tableau13[[#This Row],[Probabilité]]*Tableau13[[#This Row],[Impact]],"")</f>
        <v/>
      </c>
      <c r="K87" s="30"/>
      <c r="L87" s="30"/>
      <c r="M87" s="30"/>
      <c r="N87" s="32"/>
      <c r="O87" s="25"/>
      <c r="P87" s="33"/>
      <c r="Q87" s="25"/>
      <c r="R87" s="24"/>
      <c r="S87"/>
    </row>
    <row r="88" spans="1:19" ht="15.6" x14ac:dyDescent="0.55000000000000004">
      <c r="A88" s="29"/>
      <c r="B88" s="28"/>
      <c r="C88" s="24"/>
      <c r="D88" s="30"/>
      <c r="E88" s="30"/>
      <c r="F88" s="30"/>
      <c r="G88" s="24"/>
      <c r="H88" s="30"/>
      <c r="I88" s="30"/>
      <c r="J88" s="31" t="str">
        <f>IF(Tableau13[[#This Row],[Probabilité]]&lt;&gt;"",Tableau13[[#This Row],[Probabilité]]*Tableau13[[#This Row],[Impact]],"")</f>
        <v/>
      </c>
      <c r="K88" s="30"/>
      <c r="L88" s="30"/>
      <c r="M88" s="30"/>
      <c r="N88" s="32"/>
      <c r="O88" s="25"/>
      <c r="P88" s="33"/>
      <c r="Q88" s="25"/>
      <c r="R88" s="24"/>
      <c r="S88"/>
    </row>
    <row r="89" spans="1:19" ht="15.6" x14ac:dyDescent="0.55000000000000004">
      <c r="A89" s="29"/>
      <c r="B89" s="28"/>
      <c r="C89" s="24"/>
      <c r="D89" s="30"/>
      <c r="E89" s="30"/>
      <c r="F89" s="30"/>
      <c r="G89" s="24"/>
      <c r="H89" s="30"/>
      <c r="I89" s="30"/>
      <c r="J89" s="31" t="str">
        <f>IF(Tableau13[[#This Row],[Probabilité]]&lt;&gt;"",Tableau13[[#This Row],[Probabilité]]*Tableau13[[#This Row],[Impact]],"")</f>
        <v/>
      </c>
      <c r="K89" s="30"/>
      <c r="L89" s="30"/>
      <c r="M89" s="30"/>
      <c r="N89" s="32"/>
      <c r="O89" s="25"/>
      <c r="P89" s="33"/>
      <c r="Q89" s="25"/>
      <c r="R89" s="24"/>
      <c r="S89"/>
    </row>
    <row r="90" spans="1:19" ht="15.6" x14ac:dyDescent="0.55000000000000004">
      <c r="A90" s="29"/>
      <c r="B90" s="28"/>
      <c r="C90" s="24"/>
      <c r="D90" s="30"/>
      <c r="E90" s="30"/>
      <c r="F90" s="30"/>
      <c r="G90" s="24"/>
      <c r="H90" s="30"/>
      <c r="I90" s="30"/>
      <c r="J90" s="31" t="str">
        <f>IF(Tableau13[[#This Row],[Probabilité]]&lt;&gt;"",Tableau13[[#This Row],[Probabilité]]*Tableau13[[#This Row],[Impact]],"")</f>
        <v/>
      </c>
      <c r="K90" s="30"/>
      <c r="L90" s="30"/>
      <c r="M90" s="30"/>
      <c r="N90" s="32"/>
      <c r="O90" s="25"/>
      <c r="P90" s="33"/>
      <c r="Q90" s="25"/>
      <c r="R90" s="24"/>
      <c r="S90"/>
    </row>
    <row r="91" spans="1:19" ht="15.6" x14ac:dyDescent="0.55000000000000004">
      <c r="A91" s="29"/>
      <c r="B91" s="28"/>
      <c r="C91" s="24"/>
      <c r="D91" s="30"/>
      <c r="E91" s="30"/>
      <c r="F91" s="30"/>
      <c r="G91" s="24"/>
      <c r="H91" s="30"/>
      <c r="I91" s="30"/>
      <c r="J91" s="31" t="str">
        <f>IF(Tableau13[[#This Row],[Probabilité]]&lt;&gt;"",Tableau13[[#This Row],[Probabilité]]*Tableau13[[#This Row],[Impact]],"")</f>
        <v/>
      </c>
      <c r="K91" s="30"/>
      <c r="L91" s="30"/>
      <c r="M91" s="30"/>
      <c r="N91" s="32"/>
      <c r="O91" s="25"/>
      <c r="P91" s="33"/>
      <c r="Q91" s="25"/>
      <c r="R91" s="24"/>
      <c r="S91"/>
    </row>
    <row r="92" spans="1:19" ht="15.6" x14ac:dyDescent="0.55000000000000004">
      <c r="A92" s="29"/>
      <c r="B92" s="28"/>
      <c r="C92" s="24"/>
      <c r="D92" s="30"/>
      <c r="E92" s="30"/>
      <c r="F92" s="30"/>
      <c r="G92" s="24"/>
      <c r="H92" s="30"/>
      <c r="I92" s="30"/>
      <c r="J92" s="31" t="str">
        <f>IF(Tableau13[[#This Row],[Probabilité]]&lt;&gt;"",Tableau13[[#This Row],[Probabilité]]*Tableau13[[#This Row],[Impact]],"")</f>
        <v/>
      </c>
      <c r="K92" s="30"/>
      <c r="L92" s="30"/>
      <c r="M92" s="30"/>
      <c r="N92" s="32"/>
      <c r="O92" s="25"/>
      <c r="P92" s="33"/>
      <c r="Q92" s="25"/>
      <c r="R92" s="24"/>
      <c r="S92"/>
    </row>
    <row r="93" spans="1:19" ht="15.6" x14ac:dyDescent="0.55000000000000004">
      <c r="A93" s="29"/>
      <c r="B93" s="28"/>
      <c r="C93" s="24"/>
      <c r="D93" s="30"/>
      <c r="E93" s="30"/>
      <c r="F93" s="30"/>
      <c r="G93" s="24"/>
      <c r="H93" s="30"/>
      <c r="I93" s="30"/>
      <c r="J93" s="31" t="str">
        <f>IF(Tableau13[[#This Row],[Probabilité]]&lt;&gt;"",Tableau13[[#This Row],[Probabilité]]*Tableau13[[#This Row],[Impact]],"")</f>
        <v/>
      </c>
      <c r="K93" s="30"/>
      <c r="L93" s="30"/>
      <c r="M93" s="30"/>
      <c r="N93" s="32"/>
      <c r="O93" s="25"/>
      <c r="P93" s="33"/>
      <c r="Q93" s="25"/>
      <c r="R93" s="24"/>
      <c r="S93"/>
    </row>
    <row r="94" spans="1:19" ht="15.6" x14ac:dyDescent="0.55000000000000004">
      <c r="A94" s="29"/>
      <c r="B94" s="28"/>
      <c r="C94" s="24"/>
      <c r="D94" s="30"/>
      <c r="E94" s="30"/>
      <c r="F94" s="30"/>
      <c r="G94" s="24"/>
      <c r="H94" s="30"/>
      <c r="I94" s="30"/>
      <c r="J94" s="31" t="str">
        <f>IF(Tableau13[[#This Row],[Probabilité]]&lt;&gt;"",Tableau13[[#This Row],[Probabilité]]*Tableau13[[#This Row],[Impact]],"")</f>
        <v/>
      </c>
      <c r="K94" s="30"/>
      <c r="L94" s="30"/>
      <c r="M94" s="30"/>
      <c r="N94" s="32"/>
      <c r="O94" s="25"/>
      <c r="P94" s="33"/>
      <c r="Q94" s="25"/>
      <c r="R94" s="24"/>
      <c r="S94"/>
    </row>
    <row r="95" spans="1:19" ht="15.6" x14ac:dyDescent="0.55000000000000004">
      <c r="A95" s="29"/>
      <c r="B95" s="28"/>
      <c r="C95" s="24"/>
      <c r="D95" s="30"/>
      <c r="E95" s="30"/>
      <c r="F95" s="30"/>
      <c r="G95" s="24"/>
      <c r="H95" s="30"/>
      <c r="I95" s="30"/>
      <c r="J95" s="31" t="str">
        <f>IF(Tableau13[[#This Row],[Probabilité]]&lt;&gt;"",Tableau13[[#This Row],[Probabilité]]*Tableau13[[#This Row],[Impact]],"")</f>
        <v/>
      </c>
      <c r="K95" s="30"/>
      <c r="L95" s="30"/>
      <c r="M95" s="30"/>
      <c r="N95" s="32"/>
      <c r="O95" s="25"/>
      <c r="P95" s="33"/>
      <c r="Q95" s="25"/>
      <c r="R95" s="24"/>
      <c r="S95"/>
    </row>
    <row r="96" spans="1:19" ht="15.6" x14ac:dyDescent="0.55000000000000004">
      <c r="A96" s="29"/>
      <c r="B96" s="28"/>
      <c r="C96" s="24"/>
      <c r="D96" s="30"/>
      <c r="E96" s="30"/>
      <c r="F96" s="30"/>
      <c r="G96" s="24"/>
      <c r="H96" s="30"/>
      <c r="I96" s="30"/>
      <c r="J96" s="31" t="str">
        <f>IF(Tableau13[[#This Row],[Probabilité]]&lt;&gt;"",Tableau13[[#This Row],[Probabilité]]*Tableau13[[#This Row],[Impact]],"")</f>
        <v/>
      </c>
      <c r="K96" s="30"/>
      <c r="L96" s="30"/>
      <c r="M96" s="30"/>
      <c r="N96" s="32"/>
      <c r="O96" s="25"/>
      <c r="P96" s="33"/>
      <c r="Q96" s="25"/>
      <c r="R96" s="24"/>
      <c r="S96"/>
    </row>
    <row r="97" spans="1:19" ht="15.6" x14ac:dyDescent="0.55000000000000004">
      <c r="A97" s="29"/>
      <c r="B97" s="28"/>
      <c r="C97" s="24"/>
      <c r="D97" s="30"/>
      <c r="E97" s="30"/>
      <c r="F97" s="30"/>
      <c r="G97" s="24"/>
      <c r="H97" s="30"/>
      <c r="I97" s="30"/>
      <c r="J97" s="31" t="str">
        <f>IF(Tableau13[[#This Row],[Probabilité]]&lt;&gt;"",Tableau13[[#This Row],[Probabilité]]*Tableau13[[#This Row],[Impact]],"")</f>
        <v/>
      </c>
      <c r="K97" s="30"/>
      <c r="L97" s="30"/>
      <c r="M97" s="30"/>
      <c r="N97" s="32"/>
      <c r="O97" s="25"/>
      <c r="P97" s="33"/>
      <c r="Q97" s="25"/>
      <c r="R97" s="24"/>
      <c r="S97"/>
    </row>
    <row r="98" spans="1:19" ht="15.6" x14ac:dyDescent="0.55000000000000004">
      <c r="A98" s="29"/>
      <c r="B98" s="28"/>
      <c r="C98" s="24"/>
      <c r="D98" s="30"/>
      <c r="E98" s="30"/>
      <c r="F98" s="30"/>
      <c r="G98" s="24"/>
      <c r="H98" s="30"/>
      <c r="I98" s="30"/>
      <c r="J98" s="31" t="str">
        <f>IF(Tableau13[[#This Row],[Probabilité]]&lt;&gt;"",Tableau13[[#This Row],[Probabilité]]*Tableau13[[#This Row],[Impact]],"")</f>
        <v/>
      </c>
      <c r="K98" s="30"/>
      <c r="L98" s="30"/>
      <c r="M98" s="30"/>
      <c r="N98" s="32"/>
      <c r="O98" s="25"/>
      <c r="P98" s="33"/>
      <c r="Q98" s="25"/>
      <c r="R98" s="24"/>
      <c r="S98"/>
    </row>
    <row r="99" spans="1:19" ht="15.6" x14ac:dyDescent="0.55000000000000004">
      <c r="A99" s="29"/>
      <c r="B99" s="28"/>
      <c r="C99" s="24"/>
      <c r="D99" s="30"/>
      <c r="E99" s="30"/>
      <c r="F99" s="30"/>
      <c r="G99" s="24"/>
      <c r="H99" s="30"/>
      <c r="I99" s="30"/>
      <c r="J99" s="31" t="str">
        <f>IF(Tableau13[[#This Row],[Probabilité]]&lt;&gt;"",Tableau13[[#This Row],[Probabilité]]*Tableau13[[#This Row],[Impact]],"")</f>
        <v/>
      </c>
      <c r="K99" s="30"/>
      <c r="L99" s="30"/>
      <c r="M99" s="30"/>
      <c r="N99" s="32"/>
      <c r="O99" s="25"/>
      <c r="P99" s="33"/>
      <c r="Q99" s="25"/>
      <c r="R99" s="24"/>
      <c r="S99"/>
    </row>
    <row r="100" spans="1:19" ht="15.6" x14ac:dyDescent="0.55000000000000004">
      <c r="A100" s="29"/>
      <c r="B100" s="28"/>
      <c r="C100" s="24"/>
      <c r="D100" s="30"/>
      <c r="E100" s="30"/>
      <c r="F100" s="30"/>
      <c r="G100" s="24"/>
      <c r="H100" s="30"/>
      <c r="I100" s="30"/>
      <c r="J100" s="31" t="str">
        <f>IF(Tableau13[[#This Row],[Probabilité]]&lt;&gt;"",Tableau13[[#This Row],[Probabilité]]*Tableau13[[#This Row],[Impact]],"")</f>
        <v/>
      </c>
      <c r="K100" s="30"/>
      <c r="L100" s="30"/>
      <c r="M100" s="30"/>
      <c r="N100" s="32"/>
      <c r="O100" s="25"/>
      <c r="P100" s="33"/>
      <c r="Q100" s="25"/>
      <c r="R100" s="24"/>
      <c r="S100"/>
    </row>
    <row r="101" spans="1:19" ht="15.6" x14ac:dyDescent="0.55000000000000004">
      <c r="A101" s="29"/>
      <c r="B101" s="28"/>
      <c r="C101" s="24"/>
      <c r="D101" s="30"/>
      <c r="E101" s="30"/>
      <c r="F101" s="30"/>
      <c r="G101" s="24"/>
      <c r="H101" s="30"/>
      <c r="I101" s="30"/>
      <c r="J101" s="31" t="str">
        <f>IF(Tableau13[[#This Row],[Probabilité]]&lt;&gt;"",Tableau13[[#This Row],[Probabilité]]*Tableau13[[#This Row],[Impact]],"")</f>
        <v/>
      </c>
      <c r="K101" s="30"/>
      <c r="L101" s="30"/>
      <c r="M101" s="30"/>
      <c r="N101" s="32"/>
      <c r="O101" s="25"/>
      <c r="P101" s="33"/>
      <c r="Q101" s="25"/>
      <c r="R101" s="24"/>
      <c r="S101"/>
    </row>
    <row r="102" spans="1:19" ht="15.6" x14ac:dyDescent="0.55000000000000004">
      <c r="A102" s="29"/>
      <c r="B102" s="28"/>
      <c r="C102" s="24"/>
      <c r="D102" s="30"/>
      <c r="E102" s="30"/>
      <c r="F102" s="30"/>
      <c r="G102" s="24"/>
      <c r="H102" s="30"/>
      <c r="I102" s="30"/>
      <c r="J102" s="31" t="str">
        <f>IF(Tableau13[[#This Row],[Probabilité]]&lt;&gt;"",Tableau13[[#This Row],[Probabilité]]*Tableau13[[#This Row],[Impact]],"")</f>
        <v/>
      </c>
      <c r="K102" s="30"/>
      <c r="L102" s="30"/>
      <c r="M102" s="30"/>
      <c r="N102" s="32"/>
      <c r="O102" s="25"/>
      <c r="P102" s="33"/>
      <c r="Q102" s="25"/>
      <c r="R102" s="24"/>
      <c r="S102"/>
    </row>
    <row r="103" spans="1:19" ht="15.6" x14ac:dyDescent="0.55000000000000004">
      <c r="A103" s="29"/>
      <c r="B103" s="28"/>
      <c r="C103" s="24"/>
      <c r="D103" s="30"/>
      <c r="E103" s="30"/>
      <c r="F103" s="30"/>
      <c r="G103" s="24"/>
      <c r="H103" s="30"/>
      <c r="I103" s="30"/>
      <c r="J103" s="31" t="str">
        <f>IF(Tableau13[[#This Row],[Probabilité]]&lt;&gt;"",Tableau13[[#This Row],[Probabilité]]*Tableau13[[#This Row],[Impact]],"")</f>
        <v/>
      </c>
      <c r="K103" s="30"/>
      <c r="L103" s="30"/>
      <c r="M103" s="30"/>
      <c r="N103" s="32"/>
      <c r="O103" s="25"/>
      <c r="P103" s="33"/>
      <c r="Q103" s="25"/>
      <c r="R103" s="24"/>
      <c r="S103"/>
    </row>
    <row r="104" spans="1:19" ht="15.6" x14ac:dyDescent="0.55000000000000004">
      <c r="A104" s="29"/>
      <c r="B104" s="28"/>
      <c r="C104" s="24"/>
      <c r="D104" s="30"/>
      <c r="E104" s="30"/>
      <c r="F104" s="30"/>
      <c r="G104" s="24"/>
      <c r="H104" s="30"/>
      <c r="I104" s="30"/>
      <c r="J104" s="31" t="str">
        <f>IF(Tableau13[[#This Row],[Probabilité]]&lt;&gt;"",Tableau13[[#This Row],[Probabilité]]*Tableau13[[#This Row],[Impact]],"")</f>
        <v/>
      </c>
      <c r="K104" s="30"/>
      <c r="L104" s="30"/>
      <c r="M104" s="30"/>
      <c r="N104" s="32"/>
      <c r="O104" s="25"/>
      <c r="P104" s="33"/>
      <c r="Q104" s="25"/>
      <c r="R104" s="24"/>
      <c r="S104"/>
    </row>
    <row r="105" spans="1:19" ht="15.6" x14ac:dyDescent="0.55000000000000004">
      <c r="A105" s="29"/>
      <c r="B105" s="28"/>
      <c r="C105" s="24"/>
      <c r="D105" s="30"/>
      <c r="E105" s="30"/>
      <c r="F105" s="30"/>
      <c r="G105" s="24"/>
      <c r="H105" s="30"/>
      <c r="I105" s="30"/>
      <c r="J105" s="31" t="str">
        <f>IF(Tableau13[[#This Row],[Probabilité]]&lt;&gt;"",Tableau13[[#This Row],[Probabilité]]*Tableau13[[#This Row],[Impact]],"")</f>
        <v/>
      </c>
      <c r="K105" s="30"/>
      <c r="L105" s="30"/>
      <c r="M105" s="30"/>
      <c r="N105" s="32"/>
      <c r="O105" s="25"/>
      <c r="P105" s="33"/>
      <c r="Q105" s="25"/>
      <c r="R105" s="24"/>
      <c r="S105"/>
    </row>
    <row r="106" spans="1:19" ht="15.6" x14ac:dyDescent="0.55000000000000004">
      <c r="A106" s="29"/>
      <c r="B106" s="28"/>
      <c r="C106" s="24"/>
      <c r="D106" s="30"/>
      <c r="E106" s="30"/>
      <c r="F106" s="30"/>
      <c r="G106" s="24"/>
      <c r="H106" s="30"/>
      <c r="I106" s="30"/>
      <c r="J106" s="31" t="str">
        <f>IF(Tableau13[[#This Row],[Probabilité]]&lt;&gt;"",Tableau13[[#This Row],[Probabilité]]*Tableau13[[#This Row],[Impact]],"")</f>
        <v/>
      </c>
      <c r="K106" s="30"/>
      <c r="L106" s="30"/>
      <c r="M106" s="30"/>
      <c r="N106" s="32"/>
      <c r="O106" s="25"/>
      <c r="P106" s="33"/>
      <c r="Q106" s="25"/>
      <c r="R106" s="24"/>
      <c r="S106"/>
    </row>
    <row r="107" spans="1:19" ht="15.6" x14ac:dyDescent="0.55000000000000004">
      <c r="A107" s="29"/>
      <c r="B107" s="28"/>
      <c r="C107" s="24"/>
      <c r="D107" s="30"/>
      <c r="E107" s="30"/>
      <c r="F107" s="30"/>
      <c r="G107" s="24"/>
      <c r="H107" s="30"/>
      <c r="I107" s="30"/>
      <c r="J107" s="31" t="str">
        <f>IF(Tableau13[[#This Row],[Probabilité]]&lt;&gt;"",Tableau13[[#This Row],[Probabilité]]*Tableau13[[#This Row],[Impact]],"")</f>
        <v/>
      </c>
      <c r="K107" s="30"/>
      <c r="L107" s="30"/>
      <c r="M107" s="30"/>
      <c r="N107" s="32"/>
      <c r="O107" s="25"/>
      <c r="P107" s="33"/>
      <c r="Q107" s="25"/>
      <c r="R107" s="24"/>
      <c r="S107"/>
    </row>
    <row r="108" spans="1:19" ht="15.6" x14ac:dyDescent="0.55000000000000004">
      <c r="A108" s="29"/>
      <c r="B108" s="28"/>
      <c r="C108" s="24"/>
      <c r="D108" s="30"/>
      <c r="E108" s="30"/>
      <c r="F108" s="30"/>
      <c r="G108" s="24"/>
      <c r="H108" s="30"/>
      <c r="I108" s="30"/>
      <c r="J108" s="31" t="str">
        <f>IF(Tableau13[[#This Row],[Probabilité]]&lt;&gt;"",Tableau13[[#This Row],[Probabilité]]*Tableau13[[#This Row],[Impact]],"")</f>
        <v/>
      </c>
      <c r="K108" s="30"/>
      <c r="L108" s="30"/>
      <c r="M108" s="30"/>
      <c r="N108" s="32"/>
      <c r="O108" s="25"/>
      <c r="P108" s="33"/>
      <c r="Q108" s="25"/>
      <c r="R108" s="24"/>
      <c r="S108"/>
    </row>
    <row r="109" spans="1:19" ht="15.6" x14ac:dyDescent="0.55000000000000004">
      <c r="A109" s="29"/>
      <c r="B109" s="28"/>
      <c r="C109" s="24"/>
      <c r="D109" s="30"/>
      <c r="E109" s="30"/>
      <c r="F109" s="30"/>
      <c r="G109" s="24"/>
      <c r="H109" s="30"/>
      <c r="I109" s="30"/>
      <c r="J109" s="31" t="str">
        <f>IF(Tableau13[[#This Row],[Probabilité]]&lt;&gt;"",Tableau13[[#This Row],[Probabilité]]*Tableau13[[#This Row],[Impact]],"")</f>
        <v/>
      </c>
      <c r="K109" s="30"/>
      <c r="L109" s="30"/>
      <c r="M109" s="30"/>
      <c r="N109" s="32"/>
      <c r="O109" s="25"/>
      <c r="P109" s="33"/>
      <c r="Q109" s="25"/>
      <c r="R109" s="24"/>
      <c r="S109"/>
    </row>
    <row r="110" spans="1:19" ht="15.6" x14ac:dyDescent="0.55000000000000004">
      <c r="A110" s="29"/>
      <c r="B110" s="28"/>
      <c r="C110" s="24"/>
      <c r="D110" s="30"/>
      <c r="E110" s="30"/>
      <c r="F110" s="30"/>
      <c r="G110" s="24"/>
      <c r="H110" s="30"/>
      <c r="I110" s="30"/>
      <c r="J110" s="31" t="str">
        <f>IF(Tableau13[[#This Row],[Probabilité]]&lt;&gt;"",Tableau13[[#This Row],[Probabilité]]*Tableau13[[#This Row],[Impact]],"")</f>
        <v/>
      </c>
      <c r="K110" s="30"/>
      <c r="L110" s="30"/>
      <c r="M110" s="30"/>
      <c r="N110" s="32"/>
      <c r="O110" s="25"/>
      <c r="P110" s="33"/>
      <c r="Q110" s="25"/>
      <c r="R110" s="24"/>
      <c r="S110"/>
    </row>
    <row r="111" spans="1:19" ht="15.6" x14ac:dyDescent="0.55000000000000004">
      <c r="A111" s="29"/>
      <c r="B111" s="28"/>
      <c r="C111" s="24"/>
      <c r="D111" s="30"/>
      <c r="E111" s="30"/>
      <c r="F111" s="30"/>
      <c r="G111" s="24"/>
      <c r="H111" s="30"/>
      <c r="I111" s="30"/>
      <c r="J111" s="31" t="str">
        <f>IF(Tableau13[[#This Row],[Probabilité]]&lt;&gt;"",Tableau13[[#This Row],[Probabilité]]*Tableau13[[#This Row],[Impact]],"")</f>
        <v/>
      </c>
      <c r="K111" s="30"/>
      <c r="L111" s="30"/>
      <c r="M111" s="30"/>
      <c r="N111" s="32"/>
      <c r="O111" s="25"/>
      <c r="P111" s="33"/>
      <c r="Q111" s="25"/>
      <c r="R111" s="24"/>
      <c r="S111"/>
    </row>
    <row r="112" spans="1:19" ht="15.6" x14ac:dyDescent="0.55000000000000004">
      <c r="A112" s="29"/>
      <c r="B112" s="34"/>
      <c r="C112" s="35"/>
      <c r="D112" s="36"/>
      <c r="E112" s="36"/>
      <c r="F112" s="36"/>
      <c r="G112" s="35"/>
      <c r="H112" s="36"/>
      <c r="I112" s="36"/>
      <c r="J112" s="37" t="str">
        <f>IF(Tableau13[[#This Row],[Probabilité]]&lt;&gt;"",Tableau13[[#This Row],[Probabilité]]*Tableau13[[#This Row],[Impact]],"")</f>
        <v/>
      </c>
      <c r="K112" s="36"/>
      <c r="L112" s="36"/>
      <c r="M112" s="36"/>
      <c r="N112" s="38"/>
      <c r="O112" s="39"/>
      <c r="P112" s="40"/>
      <c r="Q112" s="39"/>
      <c r="R112" s="35"/>
      <c r="S112"/>
    </row>
  </sheetData>
  <dataValidations count="2">
    <dataValidation type="list" allowBlank="1" showInputMessage="1" showErrorMessage="1" sqref="O29:O112" xr:uid="{32DDF22E-F008-477A-97E5-D451B042E5E0}">
      <formula1>INDIRECT(B29)</formula1>
    </dataValidation>
    <dataValidation type="list" allowBlank="1" showInputMessage="1" showErrorMessage="1" sqref="N3" xr:uid="{8B49D407-D67B-4E90-AEEA-EC379B8E6FF4}">
      <formula1>INDIRECT(B143)</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0">
        <x14:dataValidation type="list" allowBlank="1" showInputMessage="1" showErrorMessage="1" xr:uid="{2415FBB2-D9BB-4C88-B8F2-0146021566B7}">
          <x14:formula1>
            <xm:f>[BOA_RAID_pilotage.xlsx]Data!#REF!</xm:f>
          </x14:formula1>
          <xm:sqref>K29:K112</xm:sqref>
        </x14:dataValidation>
        <x14:dataValidation type="list" allowBlank="1" showInputMessage="1" showErrorMessage="1" xr:uid="{A3E0D727-AF33-49AC-922F-F387BA23E155}">
          <x14:formula1>
            <xm:f>Feuil1!$O$2:$O$6</xm:f>
          </x14:formula1>
          <xm:sqref>H15:H112 I29:I112</xm:sqref>
        </x14:dataValidation>
        <x14:dataValidation type="list" allowBlank="1" showInputMessage="1" showErrorMessage="1" xr:uid="{BBB86448-0C27-4293-957E-49B496227DD8}">
          <x14:formula1>
            <xm:f>Feuil1!$J$2:$J$8</xm:f>
          </x14:formula1>
          <xm:sqref>E15:F112</xm:sqref>
        </x14:dataValidation>
        <x14:dataValidation type="list" allowBlank="1" showInputMessage="1" showErrorMessage="1" xr:uid="{1455A800-C3C6-41ED-AE1F-F211A31A5AFD}">
          <x14:formula1>
            <xm:f>[BOA_RAID_pilotage.xlsx]Data!#REF!</xm:f>
          </x14:formula1>
          <xm:sqref>L29:L112</xm:sqref>
        </x14:dataValidation>
        <x14:dataValidation type="list" allowBlank="1" showInputMessage="1" showErrorMessage="1" xr:uid="{8B6BE0E5-1EED-4AFD-A497-139461FDFC11}">
          <x14:formula1>
            <xm:f>Feuil1!$B$2:$B$5</xm:f>
          </x14:formula1>
          <xm:sqref>B29:B112 B15:B27</xm:sqref>
        </x14:dataValidation>
        <x14:dataValidation type="list" allowBlank="1" showInputMessage="1" showErrorMessage="1" xr:uid="{5C475477-EDC8-4DDA-81C5-EC14587174FB}">
          <x14:formula1>
            <xm:f>[BOA_RAID_pilotage.xlsx]Data!#REF!</xm:f>
          </x14:formula1>
          <xm:sqref>G46:G112 G15:G28</xm:sqref>
        </x14:dataValidation>
        <x14:dataValidation type="list" allowBlank="1" showInputMessage="1" showErrorMessage="1" xr:uid="{799E73A8-BB75-42B2-B582-2B4CF1DC1DC8}">
          <x14:formula1>
            <xm:f>Feuil1!$Q$2:$Q$6</xm:f>
          </x14:formula1>
          <xm:sqref>I15:I28</xm:sqref>
        </x14:dataValidation>
        <x14:dataValidation type="list" allowBlank="1" showInputMessage="1" showErrorMessage="1" xr:uid="{130BD4FC-7945-4743-82AB-A26E16CF04D2}">
          <x14:formula1>
            <xm:f>Feuil1!$M$2:$M$6</xm:f>
          </x14:formula1>
          <xm:sqref>K15:K28</xm:sqref>
        </x14:dataValidation>
        <x14:dataValidation type="list" allowBlank="1" showInputMessage="1" showErrorMessage="1" xr:uid="{2C5467D9-A683-4F81-990E-CBBE5E8727DB}">
          <x14:formula1>
            <xm:f>Feuil1!$L$2:$L$5</xm:f>
          </x14:formula1>
          <xm:sqref>L15:L28</xm:sqref>
        </x14:dataValidation>
        <x14:dataValidation type="list" allowBlank="1" showInputMessage="1" showErrorMessage="1" xr:uid="{87073DCE-FAC9-4734-A56A-5C806C88D058}">
          <x14:formula1>
            <xm:f>Feuil1!$D$2:$D$8</xm:f>
          </x14:formula1>
          <xm:sqref>O15:O28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3CFF6-6D22-457A-8DDF-DA40A1EC81F7}">
  <dimension ref="A1:Q36"/>
  <sheetViews>
    <sheetView topLeftCell="C1" workbookViewId="0">
      <selection activeCell="Q6" sqref="Q6"/>
    </sheetView>
  </sheetViews>
  <sheetFormatPr baseColWidth="10" defaultColWidth="9.62890625" defaultRowHeight="14.4" x14ac:dyDescent="0.55000000000000004"/>
  <cols>
    <col min="1" max="1" width="51.62890625" customWidth="1"/>
    <col min="2" max="2" width="23" customWidth="1"/>
    <col min="3" max="3" width="37.89453125" bestFit="1" customWidth="1"/>
    <col min="4" max="5" width="24.89453125" bestFit="1" customWidth="1"/>
    <col min="6" max="7" width="24.89453125" customWidth="1"/>
    <col min="9" max="9" width="16.47265625" customWidth="1"/>
    <col min="10" max="10" width="13.83984375" bestFit="1" customWidth="1"/>
    <col min="12" max="12" width="11.15625" customWidth="1"/>
    <col min="13" max="13" width="10.3671875" customWidth="1"/>
    <col min="15" max="15" width="19.68359375" customWidth="1"/>
  </cols>
  <sheetData>
    <row r="1" spans="1:17" x14ac:dyDescent="0.55000000000000004">
      <c r="A1" s="41" t="s">
        <v>74</v>
      </c>
      <c r="B1" s="6" t="s">
        <v>75</v>
      </c>
      <c r="C1" s="6" t="s">
        <v>76</v>
      </c>
      <c r="D1" s="42" t="s">
        <v>8</v>
      </c>
      <c r="F1" s="42" t="s">
        <v>77</v>
      </c>
      <c r="G1" s="42" t="s">
        <v>78</v>
      </c>
      <c r="I1" t="s">
        <v>79</v>
      </c>
      <c r="J1" t="s">
        <v>7</v>
      </c>
      <c r="L1" t="s">
        <v>34</v>
      </c>
      <c r="M1" t="s">
        <v>4</v>
      </c>
      <c r="O1" t="s">
        <v>31</v>
      </c>
      <c r="Q1" t="s">
        <v>32</v>
      </c>
    </row>
    <row r="2" spans="1:17" x14ac:dyDescent="0.55000000000000004">
      <c r="A2" s="43" t="s">
        <v>80</v>
      </c>
      <c r="B2" t="s">
        <v>40</v>
      </c>
      <c r="C2" t="s">
        <v>82</v>
      </c>
      <c r="D2" s="44" t="s">
        <v>83</v>
      </c>
      <c r="F2" s="15" t="s">
        <v>11</v>
      </c>
      <c r="G2" s="19" t="s">
        <v>83</v>
      </c>
      <c r="I2" t="s">
        <v>84</v>
      </c>
      <c r="J2" t="s">
        <v>24</v>
      </c>
      <c r="L2" t="s">
        <v>85</v>
      </c>
      <c r="M2" t="s">
        <v>86</v>
      </c>
      <c r="O2" t="s">
        <v>87</v>
      </c>
      <c r="Q2" t="s">
        <v>86</v>
      </c>
    </row>
    <row r="3" spans="1:17" x14ac:dyDescent="0.55000000000000004">
      <c r="A3" s="43" t="s">
        <v>88</v>
      </c>
      <c r="B3" t="s">
        <v>103</v>
      </c>
      <c r="C3" t="s">
        <v>89</v>
      </c>
      <c r="D3" s="44" t="s">
        <v>90</v>
      </c>
      <c r="F3" s="15" t="s">
        <v>14</v>
      </c>
      <c r="G3" s="19" t="s">
        <v>90</v>
      </c>
      <c r="I3" t="s">
        <v>17</v>
      </c>
      <c r="J3" t="s">
        <v>19</v>
      </c>
      <c r="L3" t="s">
        <v>91</v>
      </c>
      <c r="M3" t="s">
        <v>92</v>
      </c>
      <c r="O3" t="s">
        <v>93</v>
      </c>
      <c r="Q3" t="s">
        <v>92</v>
      </c>
    </row>
    <row r="4" spans="1:17" x14ac:dyDescent="0.55000000000000004">
      <c r="A4" s="43" t="s">
        <v>94</v>
      </c>
      <c r="B4" t="s">
        <v>95</v>
      </c>
      <c r="C4" t="s">
        <v>96</v>
      </c>
      <c r="D4" s="44" t="s">
        <v>97</v>
      </c>
      <c r="F4" s="15" t="s">
        <v>17</v>
      </c>
      <c r="G4" s="19" t="s">
        <v>97</v>
      </c>
      <c r="I4" t="s">
        <v>98</v>
      </c>
      <c r="J4" t="s">
        <v>10</v>
      </c>
      <c r="L4" t="s">
        <v>99</v>
      </c>
      <c r="M4" t="s">
        <v>100</v>
      </c>
      <c r="O4" t="s">
        <v>101</v>
      </c>
      <c r="Q4" t="s">
        <v>100</v>
      </c>
    </row>
    <row r="5" spans="1:17" x14ac:dyDescent="0.55000000000000004">
      <c r="A5" s="43" t="s">
        <v>102</v>
      </c>
      <c r="B5" t="s">
        <v>81</v>
      </c>
      <c r="C5" t="s">
        <v>104</v>
      </c>
      <c r="D5" s="44" t="s">
        <v>105</v>
      </c>
      <c r="F5" s="19" t="s">
        <v>20</v>
      </c>
      <c r="G5" s="19" t="s">
        <v>105</v>
      </c>
      <c r="I5" t="s">
        <v>106</v>
      </c>
      <c r="J5" t="s">
        <v>16</v>
      </c>
      <c r="L5" t="s">
        <v>107</v>
      </c>
      <c r="M5" t="s">
        <v>52</v>
      </c>
      <c r="O5" t="s">
        <v>108</v>
      </c>
      <c r="Q5" t="s">
        <v>52</v>
      </c>
    </row>
    <row r="6" spans="1:17" x14ac:dyDescent="0.55000000000000004">
      <c r="A6" s="43" t="s">
        <v>109</v>
      </c>
      <c r="C6" t="s">
        <v>110</v>
      </c>
      <c r="D6" s="44" t="s">
        <v>111</v>
      </c>
      <c r="F6" s="19" t="s">
        <v>23</v>
      </c>
      <c r="G6" s="19" t="s">
        <v>111</v>
      </c>
      <c r="I6" t="s">
        <v>112</v>
      </c>
      <c r="J6" t="s">
        <v>22</v>
      </c>
      <c r="M6" t="s">
        <v>113</v>
      </c>
      <c r="O6" t="s">
        <v>114</v>
      </c>
      <c r="Q6" t="s">
        <v>113</v>
      </c>
    </row>
    <row r="7" spans="1:17" x14ac:dyDescent="0.55000000000000004">
      <c r="A7" s="43" t="s">
        <v>115</v>
      </c>
      <c r="C7" t="s">
        <v>116</v>
      </c>
      <c r="D7" s="44" t="s">
        <v>117</v>
      </c>
      <c r="F7" s="19" t="s">
        <v>25</v>
      </c>
      <c r="G7" s="19" t="s">
        <v>117</v>
      </c>
      <c r="I7" t="s">
        <v>118</v>
      </c>
      <c r="J7" t="s">
        <v>26</v>
      </c>
    </row>
    <row r="8" spans="1:17" x14ac:dyDescent="0.55000000000000004">
      <c r="A8" s="43" t="s">
        <v>119</v>
      </c>
      <c r="C8" t="s">
        <v>120</v>
      </c>
      <c r="D8" s="44" t="s">
        <v>121</v>
      </c>
      <c r="F8" s="19"/>
      <c r="G8" s="19" t="s">
        <v>121</v>
      </c>
      <c r="J8" t="s">
        <v>13</v>
      </c>
    </row>
    <row r="9" spans="1:17" x14ac:dyDescent="0.55000000000000004">
      <c r="A9" s="43" t="s">
        <v>122</v>
      </c>
      <c r="C9" t="s">
        <v>123</v>
      </c>
      <c r="D9" s="42"/>
      <c r="F9" s="15"/>
      <c r="G9" s="19"/>
    </row>
    <row r="10" spans="1:17" x14ac:dyDescent="0.55000000000000004">
      <c r="A10" s="43" t="s">
        <v>124</v>
      </c>
      <c r="C10" t="s">
        <v>125</v>
      </c>
      <c r="D10" s="42"/>
      <c r="F10" s="15"/>
      <c r="G10" s="15"/>
    </row>
    <row r="11" spans="1:17" x14ac:dyDescent="0.55000000000000004">
      <c r="A11" s="43" t="s">
        <v>126</v>
      </c>
      <c r="C11" t="s">
        <v>127</v>
      </c>
      <c r="D11" s="42"/>
      <c r="F11" s="15"/>
      <c r="G11" s="15"/>
    </row>
    <row r="12" spans="1:17" x14ac:dyDescent="0.55000000000000004">
      <c r="A12" s="43" t="s">
        <v>128</v>
      </c>
      <c r="C12" t="s">
        <v>129</v>
      </c>
      <c r="D12" s="42"/>
      <c r="F12" s="19"/>
      <c r="G12" s="19"/>
    </row>
    <row r="13" spans="1:17" x14ac:dyDescent="0.55000000000000004">
      <c r="A13" s="43" t="s">
        <v>130</v>
      </c>
      <c r="D13" s="42"/>
      <c r="F13" s="19"/>
      <c r="G13" s="19"/>
    </row>
    <row r="14" spans="1:17" x14ac:dyDescent="0.55000000000000004">
      <c r="A14" s="43" t="s">
        <v>131</v>
      </c>
      <c r="D14" s="42"/>
      <c r="F14" s="19"/>
      <c r="G14" s="19"/>
    </row>
    <row r="15" spans="1:17" x14ac:dyDescent="0.55000000000000004">
      <c r="A15" s="43" t="s">
        <v>132</v>
      </c>
      <c r="D15" s="42"/>
      <c r="E15" s="42"/>
      <c r="F15" s="42"/>
      <c r="G15" s="42"/>
    </row>
    <row r="16" spans="1:17" x14ac:dyDescent="0.55000000000000004">
      <c r="A16" s="43" t="s">
        <v>133</v>
      </c>
      <c r="D16" s="42"/>
      <c r="E16" s="42"/>
      <c r="F16" s="42"/>
      <c r="G16" s="42"/>
    </row>
    <row r="17" spans="1:7" x14ac:dyDescent="0.55000000000000004">
      <c r="A17" s="43" t="s">
        <v>134</v>
      </c>
      <c r="D17" s="42"/>
      <c r="E17" s="42"/>
      <c r="F17" s="42"/>
      <c r="G17" s="42"/>
    </row>
    <row r="18" spans="1:7" x14ac:dyDescent="0.55000000000000004">
      <c r="A18" s="43" t="s">
        <v>135</v>
      </c>
      <c r="D18" s="42"/>
      <c r="E18" s="42"/>
      <c r="F18" s="42"/>
      <c r="G18" s="42"/>
    </row>
    <row r="19" spans="1:7" x14ac:dyDescent="0.55000000000000004">
      <c r="A19" s="43" t="s">
        <v>136</v>
      </c>
      <c r="D19" s="42"/>
      <c r="E19" s="42"/>
      <c r="F19" s="42"/>
      <c r="G19" s="42"/>
    </row>
    <row r="20" spans="1:7" x14ac:dyDescent="0.55000000000000004">
      <c r="A20" s="43" t="s">
        <v>137</v>
      </c>
      <c r="D20" s="42"/>
      <c r="E20" s="42"/>
      <c r="F20" s="42"/>
      <c r="G20" s="42"/>
    </row>
    <row r="21" spans="1:7" x14ac:dyDescent="0.55000000000000004">
      <c r="A21" s="43" t="s">
        <v>138</v>
      </c>
      <c r="D21" s="42"/>
      <c r="E21" s="42"/>
      <c r="F21" s="42"/>
      <c r="G21" s="42"/>
    </row>
    <row r="22" spans="1:7" x14ac:dyDescent="0.55000000000000004">
      <c r="A22" s="43" t="s">
        <v>139</v>
      </c>
      <c r="D22" s="42"/>
      <c r="E22" s="42"/>
      <c r="F22" s="42"/>
      <c r="G22" s="42"/>
    </row>
    <row r="23" spans="1:7" x14ac:dyDescent="0.55000000000000004">
      <c r="A23" s="43" t="s">
        <v>140</v>
      </c>
      <c r="D23" s="42"/>
      <c r="E23" s="42"/>
      <c r="F23" s="42"/>
      <c r="G23" s="42"/>
    </row>
    <row r="24" spans="1:7" x14ac:dyDescent="0.55000000000000004">
      <c r="A24" s="43" t="s">
        <v>141</v>
      </c>
      <c r="D24" s="42"/>
      <c r="E24" s="42"/>
      <c r="F24" s="42"/>
      <c r="G24" s="42"/>
    </row>
    <row r="25" spans="1:7" x14ac:dyDescent="0.55000000000000004">
      <c r="A25" s="43" t="s">
        <v>142</v>
      </c>
      <c r="D25" s="42"/>
      <c r="E25" s="42"/>
      <c r="F25" s="42"/>
      <c r="G25" s="42"/>
    </row>
    <row r="26" spans="1:7" x14ac:dyDescent="0.55000000000000004">
      <c r="A26" s="43" t="s">
        <v>143</v>
      </c>
      <c r="D26" s="42"/>
      <c r="E26" s="42"/>
      <c r="F26" s="42"/>
      <c r="G26" s="42"/>
    </row>
    <row r="27" spans="1:7" x14ac:dyDescent="0.55000000000000004">
      <c r="A27" s="43" t="s">
        <v>16</v>
      </c>
      <c r="D27" s="42"/>
      <c r="E27" s="42"/>
      <c r="F27" s="42"/>
      <c r="G27" s="42"/>
    </row>
    <row r="28" spans="1:7" x14ac:dyDescent="0.55000000000000004">
      <c r="A28" s="43" t="s">
        <v>24</v>
      </c>
      <c r="D28" s="42"/>
      <c r="E28" s="42"/>
      <c r="F28" s="42"/>
      <c r="G28" s="42"/>
    </row>
    <row r="29" spans="1:7" x14ac:dyDescent="0.55000000000000004">
      <c r="A29" s="43" t="s">
        <v>144</v>
      </c>
      <c r="D29" s="42"/>
      <c r="E29" s="42"/>
      <c r="F29" s="42"/>
      <c r="G29" s="42"/>
    </row>
    <row r="30" spans="1:7" x14ac:dyDescent="0.55000000000000004">
      <c r="A30" s="43" t="s">
        <v>145</v>
      </c>
      <c r="D30" s="42"/>
      <c r="E30" s="42"/>
      <c r="F30" s="42"/>
      <c r="G30" s="42"/>
    </row>
    <row r="31" spans="1:7" x14ac:dyDescent="0.55000000000000004">
      <c r="A31" s="43" t="s">
        <v>146</v>
      </c>
      <c r="D31" s="42"/>
      <c r="E31" s="42"/>
      <c r="F31" s="42"/>
      <c r="G31" s="42"/>
    </row>
    <row r="32" spans="1:7" x14ac:dyDescent="0.55000000000000004">
      <c r="A32" s="43" t="s">
        <v>147</v>
      </c>
      <c r="D32" s="42"/>
      <c r="E32" s="42"/>
      <c r="F32" s="42"/>
      <c r="G32" s="42"/>
    </row>
    <row r="33" spans="1:7" x14ac:dyDescent="0.55000000000000004">
      <c r="A33" s="43" t="s">
        <v>148</v>
      </c>
      <c r="D33" s="42"/>
      <c r="E33" s="42"/>
      <c r="F33" s="42"/>
      <c r="G33" s="42"/>
    </row>
    <row r="34" spans="1:7" x14ac:dyDescent="0.55000000000000004">
      <c r="A34" s="43" t="s">
        <v>149</v>
      </c>
      <c r="D34" s="42"/>
      <c r="E34" s="42"/>
      <c r="F34" s="42"/>
      <c r="G34" s="42"/>
    </row>
    <row r="35" spans="1:7" x14ac:dyDescent="0.55000000000000004">
      <c r="A35" s="43" t="s">
        <v>150</v>
      </c>
      <c r="D35" s="42"/>
      <c r="E35" s="42"/>
      <c r="F35" s="42"/>
      <c r="G35" s="42"/>
    </row>
    <row r="36" spans="1:7" x14ac:dyDescent="0.55000000000000004">
      <c r="A36" s="43" t="s">
        <v>43</v>
      </c>
    </row>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A5C19-E259-4272-A281-6999F87DB797}">
  <dimension ref="A1:H11"/>
  <sheetViews>
    <sheetView showGridLines="0" zoomScale="160" zoomScaleNormal="160" workbookViewId="0">
      <selection activeCell="B4" sqref="B4:B9"/>
    </sheetView>
  </sheetViews>
  <sheetFormatPr baseColWidth="10" defaultColWidth="9.41796875" defaultRowHeight="17.399999999999999" x14ac:dyDescent="0.55000000000000004"/>
  <cols>
    <col min="1" max="1" width="5.83984375" style="45" customWidth="1"/>
    <col min="2" max="2" width="19.89453125" style="46" bestFit="1" customWidth="1"/>
    <col min="3" max="7" width="16.578125" style="46" customWidth="1"/>
    <col min="8" max="16384" width="9.41796875" style="46"/>
  </cols>
  <sheetData>
    <row r="1" spans="1:8" x14ac:dyDescent="0.55000000000000004">
      <c r="A1" s="45" t="s">
        <v>151</v>
      </c>
      <c r="B1" s="45"/>
      <c r="C1" s="45"/>
      <c r="D1" s="45"/>
      <c r="E1" s="45"/>
      <c r="F1" s="45"/>
      <c r="G1" s="45"/>
      <c r="H1" s="45"/>
    </row>
    <row r="2" spans="1:8" ht="14.4" x14ac:dyDescent="0.55000000000000004">
      <c r="A2" s="47"/>
    </row>
    <row r="3" spans="1:8" ht="14.4" x14ac:dyDescent="0.55000000000000004">
      <c r="A3" s="47"/>
      <c r="B3" s="48"/>
      <c r="C3" s="49">
        <v>1</v>
      </c>
      <c r="D3" s="49">
        <v>2</v>
      </c>
      <c r="E3" s="49">
        <v>3</v>
      </c>
      <c r="F3" s="49">
        <v>4</v>
      </c>
      <c r="G3" s="49">
        <v>5</v>
      </c>
    </row>
    <row r="4" spans="1:8" ht="14.4" x14ac:dyDescent="0.55000000000000004">
      <c r="A4" s="50"/>
      <c r="B4" s="46" t="s">
        <v>152</v>
      </c>
      <c r="C4" s="51" t="s">
        <v>86</v>
      </c>
      <c r="D4" s="51" t="s">
        <v>92</v>
      </c>
      <c r="E4" s="51" t="s">
        <v>100</v>
      </c>
      <c r="F4" s="51" t="s">
        <v>52</v>
      </c>
      <c r="G4" s="51" t="s">
        <v>113</v>
      </c>
    </row>
    <row r="5" spans="1:8" ht="14.4" x14ac:dyDescent="0.55000000000000004">
      <c r="A5" s="51">
        <v>5</v>
      </c>
      <c r="B5" s="52" t="s">
        <v>87</v>
      </c>
      <c r="C5" s="53" t="s">
        <v>153</v>
      </c>
      <c r="D5" s="54" t="s">
        <v>154</v>
      </c>
      <c r="E5" s="54" t="s">
        <v>155</v>
      </c>
      <c r="F5" s="55" t="s">
        <v>156</v>
      </c>
      <c r="G5" s="55" t="s">
        <v>157</v>
      </c>
    </row>
    <row r="6" spans="1:8" ht="14.4" x14ac:dyDescent="0.55000000000000004">
      <c r="A6" s="51">
        <v>4</v>
      </c>
      <c r="B6" s="52" t="s">
        <v>93</v>
      </c>
      <c r="C6" s="56" t="s">
        <v>158</v>
      </c>
      <c r="D6" s="53" t="s">
        <v>159</v>
      </c>
      <c r="E6" s="54" t="s">
        <v>160</v>
      </c>
      <c r="F6" s="55" t="s">
        <v>161</v>
      </c>
      <c r="G6" s="55" t="s">
        <v>156</v>
      </c>
    </row>
    <row r="7" spans="1:8" ht="14.4" x14ac:dyDescent="0.55000000000000004">
      <c r="A7" s="51">
        <v>3</v>
      </c>
      <c r="B7" s="52" t="s">
        <v>101</v>
      </c>
      <c r="C7" s="56" t="s">
        <v>162</v>
      </c>
      <c r="D7" s="53" t="s">
        <v>163</v>
      </c>
      <c r="E7" s="53" t="s">
        <v>164</v>
      </c>
      <c r="F7" s="54" t="s">
        <v>160</v>
      </c>
      <c r="G7" s="54" t="s">
        <v>155</v>
      </c>
    </row>
    <row r="8" spans="1:8" ht="14.4" x14ac:dyDescent="0.55000000000000004">
      <c r="A8" s="51">
        <v>2</v>
      </c>
      <c r="B8" s="52" t="s">
        <v>108</v>
      </c>
      <c r="C8" s="57" t="s">
        <v>165</v>
      </c>
      <c r="D8" s="56" t="s">
        <v>158</v>
      </c>
      <c r="E8" s="53" t="s">
        <v>163</v>
      </c>
      <c r="F8" s="53" t="s">
        <v>159</v>
      </c>
      <c r="G8" s="54" t="s">
        <v>154</v>
      </c>
    </row>
    <row r="9" spans="1:8" ht="14.4" x14ac:dyDescent="0.55000000000000004">
      <c r="A9" s="51">
        <v>1</v>
      </c>
      <c r="B9" s="52" t="s">
        <v>114</v>
      </c>
      <c r="C9" s="57" t="s">
        <v>166</v>
      </c>
      <c r="D9" s="57" t="s">
        <v>165</v>
      </c>
      <c r="E9" s="56" t="s">
        <v>162</v>
      </c>
      <c r="F9" s="56" t="s">
        <v>158</v>
      </c>
      <c r="G9" s="53" t="s">
        <v>153</v>
      </c>
    </row>
    <row r="11" spans="1:8" x14ac:dyDescent="0.55000000000000004">
      <c r="B11" s="58"/>
      <c r="C11" s="58"/>
      <c r="D11" s="58"/>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RAID</vt:lpstr>
      <vt:lpstr>Feuil1</vt:lpstr>
      <vt:lpstr>Matrice_Criticite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Administrateur</dc:creator>
  <cp:lastModifiedBy>Administrateur</cp:lastModifiedBy>
  <dcterms:created xsi:type="dcterms:W3CDTF">2026-03-01T23:28:36Z</dcterms:created>
  <dcterms:modified xsi:type="dcterms:W3CDTF">2026-03-01T23:54:03Z</dcterms:modified>
</cp:coreProperties>
</file>