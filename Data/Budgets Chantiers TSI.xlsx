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mimoula\Downloads\"/>
    </mc:Choice>
  </mc:AlternateContent>
  <xr:revisionPtr revIDLastSave="0" documentId="8_{206171FF-1588-43B2-B175-7654CD66D705}" xr6:coauthVersionLast="47" xr6:coauthVersionMax="47" xr10:uidLastSave="{00000000-0000-0000-0000-000000000000}"/>
  <bookViews>
    <workbookView xWindow="-110" yWindow="-110" windowWidth="19420" windowHeight="10300" xr2:uid="{55979B26-9C99-44A9-9494-2E52C9249A4D}"/>
  </bookViews>
  <sheets>
    <sheet name="Tous chantiers" sheetId="2" r:id="rId1"/>
    <sheet name="Feuil1" sheetId="1" r:id="rId2"/>
  </sheets>
  <externalReferences>
    <externalReference r:id="rId3"/>
  </externalReferences>
  <definedNames>
    <definedName name="_xlnm._FilterDatabase" localSheetId="0" hidden="1">'Tous chantiers'!$A$1:$L$47</definedName>
    <definedName name="NbJoursParMois">'[1]2. Paramètres'!$D$48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8" i="2" l="1"/>
</calcChain>
</file>

<file path=xl/sharedStrings.xml><?xml version="1.0" encoding="utf-8"?>
<sst xmlns="http://schemas.openxmlformats.org/spreadsheetml/2006/main" count="196" uniqueCount="170">
  <si>
    <t>ID Chantier</t>
  </si>
  <si>
    <t>Domaine</t>
  </si>
  <si>
    <t>Nom du Chantier</t>
  </si>
  <si>
    <t>Description du chantier</t>
  </si>
  <si>
    <t>Commentaire</t>
  </si>
  <si>
    <t>#1. Projet JH sans contingence</t>
  </si>
  <si>
    <t>#1. Projet MAD sans contingence</t>
  </si>
  <si>
    <t>#2. Conseil editeurs MAD sans contingence</t>
  </si>
  <si>
    <t>#3. Licence achat et maintenance MAD sans contingence</t>
  </si>
  <si>
    <t>#4. Licences abonnements MAD sans contingence</t>
  </si>
  <si>
    <t>#5. Coût infra MAD sans contingence</t>
  </si>
  <si>
    <t>TOTAL sans contingence</t>
  </si>
  <si>
    <t>CH_001</t>
  </si>
  <si>
    <t>CH_002</t>
  </si>
  <si>
    <t>CH_003</t>
  </si>
  <si>
    <t>CH_004</t>
  </si>
  <si>
    <t>CH_005</t>
  </si>
  <si>
    <t>CH_006</t>
  </si>
  <si>
    <t>CH_007</t>
  </si>
  <si>
    <t>CH_008</t>
  </si>
  <si>
    <t>CH_009</t>
  </si>
  <si>
    <t>CH_010</t>
  </si>
  <si>
    <t>CH_011</t>
  </si>
  <si>
    <t>CH_012</t>
  </si>
  <si>
    <t>CH_013</t>
  </si>
  <si>
    <t>CH_014</t>
  </si>
  <si>
    <t>CH_015</t>
  </si>
  <si>
    <t>CH_016</t>
  </si>
  <si>
    <t>CH_017</t>
  </si>
  <si>
    <t>CH_018</t>
  </si>
  <si>
    <t>CH_019</t>
  </si>
  <si>
    <t>CH_020</t>
  </si>
  <si>
    <t>CH_021</t>
  </si>
  <si>
    <t>CH_022</t>
  </si>
  <si>
    <t>CH_023</t>
  </si>
  <si>
    <t>CH_024</t>
  </si>
  <si>
    <t>CH_025</t>
  </si>
  <si>
    <t>CH_026</t>
  </si>
  <si>
    <t>CH_027</t>
  </si>
  <si>
    <t>CH_028</t>
  </si>
  <si>
    <t>CH_029</t>
  </si>
  <si>
    <t>CH_030</t>
  </si>
  <si>
    <t>CH_031</t>
  </si>
  <si>
    <t>CH_032</t>
  </si>
  <si>
    <t>CH_033</t>
  </si>
  <si>
    <t>CH_034</t>
  </si>
  <si>
    <t>CH_035</t>
  </si>
  <si>
    <t>CH_036</t>
  </si>
  <si>
    <t>CH_037</t>
  </si>
  <si>
    <t>CH_038</t>
  </si>
  <si>
    <t>CH_039</t>
  </si>
  <si>
    <t>CH_040</t>
  </si>
  <si>
    <t>CH_041</t>
  </si>
  <si>
    <t>CH_042</t>
  </si>
  <si>
    <t>CH_043</t>
  </si>
  <si>
    <t>CH_044</t>
  </si>
  <si>
    <t>CH_045</t>
  </si>
  <si>
    <t>CH_046</t>
  </si>
  <si>
    <t>Cockpit</t>
  </si>
  <si>
    <t>Fondations techniques et déploiement du DataLake centralisé</t>
  </si>
  <si>
    <t>Ce chantier vise à construire un DataLake centralisé, basé sur une architecture moderne et scalable, destiné à répondre aux besoins essentiels en reporting opérationnel, réglementaire et analytique (Big Data/IA). Il intègre la mise en place du modèle conceptuel bancaire (BIAN) pour structurer les données, le data mapping et cleansing et l'init load (migration) progressif des données existantes en lien avec les politiques de rétention réglementaires. La solution Cloudera existante devra être évaluée pour confirmer son périmètre fonctionnel, ses capacités de maintenance, ainsi que sa montée en charge dans un environnement cloud privé. Une attention particulière sera portée à l’interopérabilité avec les systèmes transactionnels.
Activités techniques:
- Définition et validation de l’architecture technique cible du DataLake
- Sélection et validation des solutions technologiques, Cloudera pour tout ou partie du périmètre cible du Datalake
- Analyse fonctionnelle et périmètre d’usage du DataLake (reporting, IA, réglementaire)
- Conception et déploiement de l’architecture fonctionnelle sur cloud privé
- Intégration des besoins métiers en reporting opérationnel et réglementaire
- Préparation des interfaces d’interopérabilité avec les systèmes transactionnels
- Mise en place du modèle conceptuel bancaire (BIAN) pour structurer les données
- Chargement des données initiales une fois les modèles prêts de manière progressive, data cleansing et mapping
- Coordination avec le chantier ETL pour synchronisation des flux de données</t>
  </si>
  <si>
    <t>Capital humain</t>
  </si>
  <si>
    <t>Rationalisation des développements interne et extension fonctionnelle de HR Access</t>
  </si>
  <si>
    <t>Ce chantier vise à moderniser et centraliser la gestion des fonctionnalités RH en renforçant HR Access comme système central. Il s’agit d’intégrer au sein de HR Access certaines fonctionnalités RH non critiques (voir leur replatforming) actuellement développées dans le framework DevBooster (ex : CAAB pour la gestion des augmentations/bonus, chargement massif de données), afin de rationaliser l’écosystème et réduire la dépendance EI. Par ailleurs, l’audit log, non utilisé par les métiers, sera décommissionné. Enfin, une refonte du portail RH web est également prévue, avec une transition vers une stack front-end moderne (React, Angular) et l’intégration possible de fonctionnalités d’intelligence artificielle pour améliorer l’expérience utilisateur.
Activités techniques:
- Inventaire et analyse fonctionnelle des outils RH développés sous EI (ex : CAAB, chargement en masse)
- Étude de faisabilité d'intégration des fonctionnalités dans HR Access
- Prototypage ou POC de fonctionnalités (notamment CAAB) dans HR Access
- Décommissionnement de l’application audit log car non utilisée
- Montée de version de HR Access pour supporter les intégrations, nouvelles fonctionnalités et autres
- Refonte du Portail RH (finalisation de cadrage, confirmation de la stack technologique, ...)</t>
  </si>
  <si>
    <t>Achats &amp; logistique</t>
  </si>
  <si>
    <t>Consolidation du SI Achat et Logistique au Service de la Performance</t>
  </si>
  <si>
    <t>Ce chantier vise à moderniser et consolider le système d’information Achat et Logistique afin d’améliorer la performance opérationnelle et la cohérence des données. Il comprend l’upgrade et l’extension des modules Oracle EBS Achat, le remplacement du portail économat par un progiciel du marché plus performant, intégrant la gestion des stocks de Sage 100 dans ce nouveau progiciel logistique (une autre brique pouvant être nécessaire pour la gestion du patrimoine foncier), ainsi que la migration des réclamations de Satis vers Qualiparc ou autre solution ITSM cible. Une coordination étroite avec les chantiers Finance et Budget sera nécessaire pour garantir la cohérence globale des données et processus entre les domaines Achat, Logistique, Comptabilité et Finance.
Activités techniques:
Activités techniques:
- Mise à niveau et extension des modules Achat sous Oracle EBS
-  sélection du/des progiciels de gestion logistique et patrimoine foncier remplaçant économat
- Intégration des fonctionnalités de gestion de stock de Sage 100 dans la nouvelle solution
- Migration des réclamations de Satis vers Qualiparc ou autre solution ITSM
- Coordination avec le chantier Finance et Budget pour l’alignement des données, solution éditeur et processus
- Déploiement, tests, formation et accompagnement au changement
- Décommissionnement progressif des anciennes solutions</t>
  </si>
  <si>
    <t xml:space="preserve">Juridique </t>
  </si>
  <si>
    <t>Sécurisation et intégration du SI juridique</t>
  </si>
  <si>
    <t>Ce chantier vise à renforcer la sécurité et améliorer l’intégration des outils juridiques du SI, notamment par :
- L’interfaçage de l’application Galexy avec l’Active Directory pour appliquer des contrôles d’accès et des verrous de sécurité adaptés (indépendant de EI).
- Le remplacement des applications internes fournissant des états de gestion juridique par un sourcing des données depuis la data plateforme.
- La mise en place d’interfaces avec le CBS, pour consultation et permettant le décommissionnement des dépendances à l’application "Poste Agence" pour certains événements liés aux comptes (avis de gel, déshérence, statut du compte), désormais fournis par le CBS.
- l'interfaçage avec le CRM pour collecte d'informations
Activités techniques:
- Analyse détaillée des modules juridiques existants et audit des systèmes juridiques actuels (Galexy, applications d’états de gestion).
- Analyse des ambitions liées à l'automatisation de certaines taches pour une mise en place de workflow, chatbot, ...
- Intégration de Galexy avec Active Directory/IAM pour renforcer la gestion des accès.
- Conception et développement des flux d’alimentation de la data plateforme pour remplacer les applications d’états juridiques internes.
- Développement des interfaces CBS et CRM pour la gestion/consultation des événements liés aux comptes.
- Tests de sécurité, validation des accès et des verrous.
- Formation des utilisateurs et accompagnement au changement.</t>
  </si>
  <si>
    <t>CIE</t>
  </si>
  <si>
    <t>Veille Stratégique Augmentée par la Donnée &amp; l’Automatisation</t>
  </si>
  <si>
    <t>Ce chantier vise à moderniser l’écosystème de veille économique et stratégique du CIE, en s’appuyant sur la nouvelle data platform et des outils analytics/BI (notamment Cloudera et Tableau). Il comprend la mise à disposition d’outils analytiques pour les équipes CIE, ainsi que l’intégration et la rationalisation des applications existantes (Cadic Intégrale, géomarketing, portail terrain) dans un ensemble interconnecté avec la data platform.
Activités techniques:
Analyse détaillée des besoins métiers spécifiques à la veille stratégique et économique en termes d'IA/ML
Conception et developpement de datamarts spécifiques au sein de la dataplatforme
Intégration des données issues de diverses applications (Cadic Intégrale, géomarketing, portail terrain) dans la data platform.
Mise en place et configuration des outils BI/Analytics retenus (Tableau, Cloudera).
Rationalisation et consolidation des applications existantes pour éviter les redondances.</t>
  </si>
  <si>
    <t>Conformité</t>
  </si>
  <si>
    <t>Mise en place d’une Plateforme de Conformité Intelligente et Résiliente (Smart Compliance)</t>
  </si>
  <si>
    <t>Ce chantier vise à transformer en profondeur la chaîne de conformité en modernisant les composants KYC/AML/KYT existants avec la mise à jour de SIRON ONE, en refondant les développements internes clés, et en préparant l'intégration d’IA pour la mise en place d'un système automatisé de détection des fraudes et assurer la conformité réglementaire, en ajustant les règles selon les risques et en optimisant le traitement des alertes KYC et AML.
Il comprend notamment la complétion du module Embargo de SIRON par la solution SIWFT TSS (en cours), la gestion des listes de sanctions critiques, la mise en place des workflow de validation KYC existants, l’interopérabilité avec le Core Banking System (CBS) et le futur CRM, le renforcement de la haute disponibilité des composants critiques (SIRON).
Activités techniques:
- Refonte technique des développements internes reposants sur du DevBooster entre autres (fiche KYC, ContEER, etc.)
- Acquisition de la solution SWIFT TSS
- Upgrade et paramétrage des modules SIRON (KYC, AML, TCR, GoAML…)
- Mise en place de deux instances pour de la haute disponibilité de SIRON (plan de réplication, équilibrage, supervision)
- Intégration des listes de sanctions à jour avec mécanismes de contrôle et synchronisation
- Définition et déploiement du workflow de validation KYC multi-niveaux (avec alertes, journalisation)
- Connexions API avec le CBS (récupération données client, déclencheurs KYC)
- Connexion au CRM cible pour synchronisation des statuts de conformité
- Préparation des cas d’usage d’automatisation intelligente (moteur de règles, scoring, IA pour alertes)
- Tests de performance et validation réglementaire</t>
  </si>
  <si>
    <t>Référentiel Groupe Conformité &amp; Pilotage Réglementaire Centralisé</t>
  </si>
  <si>
    <t>Ce chantier vise à créer un référentiel unique et structuré des données de conformité (clients, alertes, sanctions, déclarations) pour les données du Groupe dans le périmètre actuel. Il permettra d’automatiser les déclarations réglementaires (GoAML, BAM) et de piloter la conformité via un portail central dans l’outil Governance Risk Compliance (MEGA), facilitant la veille réglementaire, les statistiques annuelles et la collaboration inter-filiales.
Activités techniques:
- Conception d’un datamart conformité (clients, alertes SIRON, sanctions, etc.)
- Récupération et consolidation des données issues de SIRON et systèmes satellites
- Mise en qualité, normalisation et historisation des données
- Automatisation des déclarations réglementaires (GoAML, BAM) à partir de SIRON One
- Génération des statistiques annuelles conformité (format BAM)
- Mise en place d’un portail dans MEGA pour la veille réglementaire, la collaboration inter-filiales, visualisation des indicateurs de pilotage
- Sécurisation des accès et gestion des droits par profil
- Documentation, formation et gouvernance des données conformité</t>
  </si>
  <si>
    <t>Contrôle interne &amp; Contrôle permanent</t>
  </si>
  <si>
    <t xml:space="preserve">Portail unique et intégré de Contrôle Interne et Permanent </t>
  </si>
  <si>
    <t>Ce chantier vise à rationaliser les dispositifs actuels de contrôle interne et permanent en consolidant les portails existants dans une solution unifiée. Cette solution pourrait s’appuyer sur un outil GRC (Governance, Risk, and Compliance) groupe ou être développée en interne suivant les besoins de spécificités et la capacité de l'outil de Gouvernance sélectionné à les absorber. Le chantier prévoit donc le remplacement du GRC-CINT MT actuellement utilisé, ainsi que la centralisation automatisée des états de gestion issus de la data plateforme. L’objectif est de standardiser, moderniser et centraliser les outils de pilotage des contrôles au sein d’un seul portail intégré, tout en se détachant des briques satellite développées dans le périmètre EI de la GRC.
Activités techniques:
- Cartographie détaillée des portails et outils de contrôle existants (GRC-CINT MT, portails développées en interne de filiale, régionaI, …)
- Définition du périmètre fonctionnel cible en lien avec les métiers Risques, Contrôle permanent, Audit en vue d'une centralisation des activités 3 lignes de défense
- Analyse de l'utilisation de l'outil GRC et sa capacité à intégrer toutes les fonctionnalités requises vs développement interne
- Choix de l’architecture cible (solution groupe ou interne) et validation par la gouvernance IT
- Décomissionnement des anciennes applications portails de controle interne et permanent
- Conception du portail unique (interface utilisateur, workflow, référentiels)
- Développement des connecteurs vers la data plateforme pour la récupération des états 
- Sécurisation des accès et gestion des habilitations en fonction des rôles de contrôle et ajout des mandants nécessaires
- Intégration des processus de contrôle (déclaration, suivi, relance, reporting)</t>
  </si>
  <si>
    <t>Risques</t>
  </si>
  <si>
    <t>Modernisation des outils risques crédit</t>
  </si>
  <si>
    <t>Ce chantier vise à refondre en profondeur les outils critiques de gestion des risques crédit (scoring, provision, workflow décisionnel), en s’appuyant sur une plateforme cible plus moderne, intégrée et automatisée. L’intégration aux sources de données via la data platform permettra d’optimiser les traitements analytiques, d’améliorer la conformité réglementaire, et de fiabiliser la donnée pour les outils existants (Anadefi, RAY...).
Activités techniques:
- Sélection de la plateforme cible (replatforming) en exploitant Cloudera
- Refonte des modules : scoring, workflow de décision, gestion des provisions
- Développement d’APIs et pipelines ETL pour la collecte et diffusion des données risques
- Interfaçage des systèmes legacy avec la nouvelle architecture
- Migration des données historiques
- Automatisation des contrôles réglementaires et traitements métiers
- Tests de conformité réglementaire et performance des flux</t>
  </si>
  <si>
    <t xml:space="preserve">Mise en place d'une Plateforme Governance Risk Compliance pour la gestion intégrée des risques, audit et conformité
</t>
  </si>
  <si>
    <t>Déploiement d’une plateforme unifiée de type GRC (Governance, Risk &amp; Compliance) pour centraliser les activités de contrôle interne, contrôle permanent, et gestion des risques. L’objectif est d’harmoniser les pratiques, d’améliorer le pilotage transverse et de faciliter le reporting groupe, avec intégration aux outils existants. Ce chantier vient supporter les organisation et opérations des 3 lignes de défense. Ce genre d'outil peut etre couvert par une plateforme plus large d'enterprise services couvrant les aspects d'architecture d'entreprise, CMDB, ITSM et également GRC et donc à analyser de façon simultanée.
Activités techniques:
- Cadrage fonctionnel avec les directions Contrôle interne et permanent, Conformité et Risques
- Alignement fonctionnel sur les exigences et ambition Groupe
- Benchmark, POC et sélection d’un outil GRC (capitalisant sur l'existant avec MEGA GRC ou autre solution éditeur)
- Paramétrage des modules : Déclarations de contrôle, Suivi des incidents et risques, Gestion des plans d’action, Reporting réglementaire et opérationnel 
- Intégration avec les systèmes existants (SI risques, data plateforme, référentiels)
- Mise en place des rôles, habilitations, workflows
- Accompagnement au changement conséquente dûe à l'implémentation d'une nouvelle plateforme</t>
  </si>
  <si>
    <t>Une Vision Consolidée et Fiable des données Risques Groupe</t>
  </si>
  <si>
    <t>Ce chantier vise à centraliser les données liées aux risques de l’ensemble des entités du groupe au sein d’un entrepôt unifié, capitalisant sur la refonte du SI risques déjà entamée (BTG, TGA, BGE, BGI, ...). Les données devront être intégrées dans la data plateforme pour constituer une base fiable, exploitable par la gouvernance et les outils de Governance Risk Compliance. L’objectif est d’obtenir une vision consolidée, transverse, et fiable des expositions au risque.
Activités techniques:
- Cartographie détaillée des sources de données risques (filiales, outils locaux, datamarts) et impacts de la transformation
- Définition du modèle cible de données consolidées
- Mise en qualité et harmonisation des formats/structures de données
- Développement des flux d’alimentation (ETL/ELT) vers la data plateforme
- Définition des KPIs et des usages métiers associés
- Intégration avec l’outil Governance Risk Compliance pour la restitution des données consolidées
- Tests de cohérence, validation et mise en production</t>
  </si>
  <si>
    <t>Crédits</t>
  </si>
  <si>
    <t>Digitalisation de l’octroi et gestion du cycle de vie du crédit</t>
  </si>
  <si>
    <t>Ce chantier concerne la mise en place d’une plateforme intégrée pour la gestion complète du cycle de vie du crédit : simulation, instruction, octroi, la mise en gestion et le suivi dynamique des crédits. Il s’appuie principalement sur la suite Evolan (Loans existant), dans le cas où les solutions proposées par l'éditeur répondent aux besoins, autrement une collaboration en vue d'un partenariat stratégique devra être discutée. Le développement interne aidé de plateformes de workflow peut également être envisagé. Ce chantier comprend aussi le remplacement des outils EI tels que Garweb avec le développement ou l'acquisition d’une solution de gestion automatisée des garanties/collatéraux (telle que Evolan Collateral Management), replatforming de Deleg, ... L’implémentation des workflows existants est incluse, soit via les outils principaux, soit via la brique workflow technique dédiée.
Activités techniques:
- Analyse fonctionnelle des besoins et évaluation des solutions Evolan (Loans et Collateral Management)
- Étude de faisabilité d’un partenariat stratégique avec l’éditeur si besoin
- Développement ou acquisition de la solution de gestion automatisée des garanties/collatéraux
- Migration des données des outils EI  (Garweb, Imedi@t, etc.)
- Mise en place des workflows automatisés sur les outils principaux ou via brique transverse workflow
- Intégration avec les nouveaux systèmes CBS, CRM, référentiels et autres systèmes bancaires
- Tests, validation métier, formation et déploiement</t>
  </si>
  <si>
    <t>Optimisation du processus de recouvrement</t>
  </si>
  <si>
    <t xml:space="preserve">Ce chantier vise à stabiliser et enrichir l’outil IMX, déjà généralisé pour les phases amiable, précontentieuse et contentieuse du recouvrement. Il intègre des évolutions telles que la gestion des provisions, l'intégration de l'application CDL, le scoring et la comitologie. Le chantier comprend également l'interfacage avec les solutions cibles telles que le Hub de Paiement ou la dataplatforme. L’objectif est aussi de résoudre les écarts comptables liés au recouvrement et d’automatiser progressivement les processus pour améliorer le pilotage des risques.
Activités techniques:
- Analyse fonctionnelle des besoins complémentaires (provisions, scoring, comitologie, CDL,...).
- Développement et paramétrage des nouvelles fonctionnalités dans IMX.
- Interfacer IMX avec les solutions paiement, comptable, dataplatforme entre autres
- Mise en place de mécanismes d’automatisation des workflows et processus de recouvrement au sein des progiciels disponibles si ceux-ci comprennent cette fonctionnalité voir via la plateforme workflow/case management
- Traitement et résolution des écarts comptables liés au recouvrement.
</t>
  </si>
  <si>
    <t>Référentiels</t>
  </si>
  <si>
    <t>Mise en place des référentiels Client/Tiers/Produit/habilitation/HR Centralisés pour une vision client 360°</t>
  </si>
  <si>
    <t>Le chantier consiste à remplacer les briques EI "référentiel" de la GRC par des solutions intégrées au sein des applicatifs cible (CBS, CRM, IAM) dans la mesure du possible, avec une possibilité de développement interne notamment pour les référentiels client/tiers  contenant de potentielles spécificités place/BoA jugées complexes à intégrer dans un progiciel. L’objectif est de construire une vision client 360°, préparer la vision consolidée groupe, réduire les redondances, fiabiliser la donnée de référence, et consolider le référentiels.
Activités techniques:
- Analyse détaillée et selection des alternatives (avec POC) pour l'utilisation des progiciels en tant que réceptacles des référentiels ou développement internes aidés de Master Data Management, notamment pour les référentiels client/tiers.
- Développement ou intégration des référentiels dans les solutions cible:
----&gt; Clients / Tiers dans CBS/CRM ou solution MDM/developpement interne
----&gt; Produits dans CBS (POPS)
----&gt; Habilitations via IAM (ASAL, SAS)
----&gt; RH dans HR Access ou développement internes (BORG, ASAL)
- Exposition des référentiels (API, fichiers) et définition des flux de synchronisation
- Validation technique de la capacité de HR Access à centraliser les données RH (seulement la partie employée)
- Migration progressive des données des référentiels suivant l'implémentation des chantiers associés.
- Décommissionnement des référentiels obsolètes (EI, EAI, DevBooster)</t>
  </si>
  <si>
    <t>Centralisation et modernisation du référentiel tarifaire bancaire</t>
  </si>
  <si>
    <t>Ce chantier a pour objectif de centraliser et moderniser la gestion des tarifs dans un référentiel unique dont la technologie reste à analyser et sélectionner (au niveau du CBS généralement ou en développement interne en capitalisant autour de Tarfac). Il remplace les référentiels dispersés (dont ceux issus d’EI comme SGT).
Concernant les tarifs gérés en dehors au sein de certains SOPs, il s'agira d'analyser les impacts de l'intégrations de ceux-ci au sein de ce référentiel centralisé.
L’objectif est d’améliorer la cohérence, la performance et l’évolutivité de la gestion tarifaire, en intégrant la personnalisation, la simulation et l’historisation des tarifs.
Activités techniques:
- Évaluation des solutions de CBS prenant en charge la tarification (POC) ou les impacts dûs à un développement interne capitalisant sur Tarfac.
- Analyse des ambitions de centralisation tarifaire vis à vis des SOPs (monétique, megara, ...) 
- Analyse des règles métier de tarification avec support de EI (personnalisation, versionning, historique)
- Migration des données des référentiels existants 
- Coordination des règles métier complexes (personnalisation, simulation, versionning).
- Intégration et interopérabilité avec les systèmes métiers appliquant les tarifs.
- Mise en place des processus de migration et évaluation de l'alignement fonctionnel.
- Décomissionnement des applications EI de gestion tarification (SGT, ...)</t>
  </si>
  <si>
    <t>Distribution &amp; communication</t>
  </si>
  <si>
    <t>Une plateforme CRM unifiée pour la distribution multicanale</t>
  </si>
  <si>
    <t>Ce chantier vise le remplacement de la majorité des briques GRC (EI/EAI) relatives à la gestion des clients/tiers, ventes, opportunités commerciales, typologie et marketing par une plateforme CRM moderne unifiée. Elle orchestre les parcours clients (ventes, réclamations, rendez-vous, processus complexes tels que le KYC). La mise en place de cette platforme devra permettre l'intégration par la suite du CRC (CH_020), la vente de produits/packages (CH_017) et des capacités analytiques avancées via une approche low-code/no-code. En complément, l'étude des fonctionnalités de type Customer Data Platform (CDP) devront être analysées (POC) afin d'offrir une vision client 360°, facilitant scoring, segmentation et campagnes marketing. Pour des raisons d'intéropérabilités et une meilleure gestion des référentiels, cette solution devra être analysée et sélectionnée avec le CBS et l'architecture des référentiels.
Activités techniques
- Analyse fonctionnelle multicanal et définition des parcours clients, prospects, ...
- Sélection/configuration de la plateforme CRM en coordination avec les chantier CBS et Référentiels
- Migration des données GRC actuelles dans le périmètre distribution et communication
- Migration des données Syrec et décomissionnement de la solution
- Intégration avec la plateforme d'intégration et développement et mise à disposition des APIs pour les SOPs
- Etude de la mise en place de la CDP pour enrichissement et valorisation des données</t>
  </si>
  <si>
    <t>Digitalisation des parcours de souscription aux produits/packages et décommissionnement progressif d'INDIGO</t>
  </si>
  <si>
    <t>Ce chantier s’inscrit dans la continuité du CRM unifié (CH_016) en digitalisant les parcours de souscription aux produits et packages via une architecture répartie entre la couche front CRM et le CBS. Le CRM est utilisé pour la gestion des parcours utilisateurs (logique d’orchestration, UI/UX et couche d'exposition), tandis que le CBS devient la source de vérité pour les catalogues produits, les règles d’éligibilité, la tarification (potentiellement) et les engagements contractuels. Ce découplage des fonctionnalités actuelles d'INDIGO permet une meilleure évolutivité des offres commerciales, une réduction des développements spécifiques et une adaptation omnicanale aux besoins du réseau.
Activités techniques:
- Analyse des processus de souscription existants dans Indigo
- Modélisation des parcours de souscription dans le CRM (workflows low-code)
- Intégration CRM ↔ CBS pour gestion des produits, règles d’éligibilité et tarification (voir developpement interne)
- Migration des souscriptions en cours et des historiques depuis Indigo
- Décommissionnement progressif d’Indigo
- Recette métier sur les parcours reconfigurés et sécurisation de la traçabilité réglementaire</t>
  </si>
  <si>
    <t>Centralisation de Business Online vers une expérience client corporate moderne</t>
  </si>
  <si>
    <t>Ce chantier vise à consolider et moderniser les canaux digitaux destinés aux clients corporate à travers deux volets distincts :
- Business Online (BO) : socle unifié de relation bancaire pour les entreprises, basé sur la solution Adria. Le chantier inclut l’upgrade de version prévu en 2026, l’intégration avec les systèmes cibles (CBS, CRM, GED, IAM) ainsi que l’élargissement fonctionnel (FX, offshore, custody, opérations filiales…). Cette plateforme constitue la colonne vertébrale de la relation omnicanale pour les grands comptes.
- Plateformes spécialisées corporate (hors Business Online) : le chantier garantit l’interopérabilité, la pérennisation et le raccordement des solutions suivantes : SCF (Kyriba) pour le cash management, EBICS pour les échanges de fichiers bancaires, b’Trade (ou son successeur) pour le commerce international,  Crédit entreprise, Transdoc, DLT, TI+, MTP...
Ces outils, bien que ne faisant pas partie intégrante de BO, doivent fonctionner de manière cohérente avec les autres systèmes et avec un niveau d’intégration maîtrisé selon les cas d’usage.
Activités techniques
- Business Online :
Upgrade technique (Adria) et intégration avec CBS, CRM, GED, IAM
Enrichissement UX/UI et mise en conformité avec la roadmap DDG
Connexion au Digital Hub si nécessaire pour l’entrée utilisateur
Maintien et sécurisation des interfaces héritées (SIEL, Exchange…)
- Autres plateformes corporate :
Mise en place des interfaces et sécurisation des flux avec SCF, EBICS, b’Trade, etc.
Alignement avec les référentiels cible (comptes, tiers, habilitations)
Intégration des outils à la data plateforme (reporting, monitoring)
Anticipation des besoins de remplacement ou d’évolution technologique sur 5 ans</t>
  </si>
  <si>
    <t>Un Hub Digital BoA pour une Banque 100% Omnicanale</t>
  </si>
  <si>
    <t>Ce chantier vise à déployer un portail centralisé (Hub Digital) qui fédère l’accès aux services numériques (eBanking, crédit, ouverture de compte) et intègre les site institutionnels ainsi que les plateformes VAD. Le Hub orchestre les parcours digitaux avec authentification, redirection contextuelle et expérience client unifiée.
Les plateformes backend (Agence Directe, Crédit Immobilier, Crédit Daba) continuent d’exister techniquement ; leurs parcours seront intégrés via le Hub. Certains sites comme ODE, IR, Bleu Space et BTrade (ou son successeur) restent en standalone et n'y seront pas intégrés.
Activités techniques :
- Développement et mise en place du portail centralisé (Hub Digital) avec gestion des accès, authentification et orchestration des parcours digitaux.
- Intégration des services numériques clés : eBanking, crédit, ouverture de compte, site institutionnel, plateformes VAD.
- Mise en place des mécanismes de redirection contextuelle vers les plateformes backend existantes (Agence Directe, Crédit Immobilier, Crédit Daba).
- Gestion de l’expérience utilisateur unifiée à travers les différents parcours intégrés.
- Coordination avec les équipes responsables des plateformes backend pour assurer l’interopérabilité et la continuité des services.
- Maintien en mode standalone des sites ODE, IR, Bleu Space et BTrade, sans intégration au Hub.
- Tests d’intégration, de performance et de sécurité.
- Déploiement progressif et accompagnement au changement.</t>
  </si>
  <si>
    <t>Connexion du centre de relation client (CRC) au CRM unifié
 pour un Service Client Réactif et Personnalisé</t>
  </si>
  <si>
    <t>Ce chantier vise à intégrer les canaux de contact (voix, mail, WhatsApp, réseaux sociaux, chatbots) au CRM unifié (CH_016), en s’appuyant sur la plateforme Genesys notamment pour la gestion centralisée des interactions. L’objectif est d’assurer une continuité de parcours client entre les canaux digitaux, le CRC et le réseau physique. La plateforme permettra également une remontée de contexte enrichie pour les conseillers, une meilleure supervision des performances CRC, et à terme une orchestration intelligente des canaux (routage, priorisation, bots + humains).
Activités techniques:
- Cartographie des canaux conversationnels existants et priorisation des intégrations
- Intégration de Genesys au CRM : synchronisation des tickets, historiques d’échanges, contexte client
- Connexion des chatbots (Smartly, Kodi) sur l’environnement sécurisé
- Mise en place d’un moteur de routage intelligent (bots vs conseillers)
- Définition des métriques CRC (temps de réponse, satisfaction, taux de résolution)
- Formation des agents CRC sur les nouveaux outils et interfaces</t>
  </si>
  <si>
    <t>Finance, contrôle de gestion et comptabilité</t>
  </si>
  <si>
    <t>Refonte et simplification de l'architecture comptable pour une  position en temps réel.</t>
  </si>
  <si>
    <t>Ce chantier vise à moderniser l’architecture comptable du groupe en introduisant une logique de subledger comptable au niveau du CBS (comptes, dépôts, packages, soldes), couplée à une comptabilité générale (General Ledger) centralisée dans Oracle GL.
Il s’appuie sur une capitalisation progressive sur la solution AFAH (Axway), utilisée comme moteur comptable transverse, afin de remplacer les traitements internes (CRE, ME, etc.).
Cette évolution permettra une vision position en temps réel, notamment via l’intégration du CBS, tout en conservant l’alimentation asynchrone et quotidienne d’Oracle GL. Le chantier intègre également la gestion du multi-devises.
Activités techniques:
- Interface et stabilisation du subledger intégré au CBS pour la tenue des écritures comptables en temps réel
- Définition de la modélisation comptable cible (schémas, référentiels, plans de comptes)
- Extension de l’usage d’AFAH aux SOPs sans intelligence comptable comme subledger (configuration des règles, flux, rejets)
- Décommissionnement progressif des chaînes de traitement comptable historiques (CRE, ME, etc.)
- Intégration des flux subledger avec Oracle GL, avec transformation quotidienne (asynchrone)
- Implémentation de la gestion du multi-devise au niveau CBS et des règles comptables associées
- Mise en place d’outils de réconciliation, contrôle et justification automatisée
- Gouvernance comptable renforcée pour alignement multi-entités et multi-périmètres</t>
  </si>
  <si>
    <t>Titres et placements</t>
  </si>
  <si>
    <t>Centralisation et modernisation du référentiel titres et portefeuille</t>
  </si>
  <si>
    <t>Ce chantier vise à consolider un référentiel titres et placements unique, basé sur l’évolution maîtrisée de la suite MEGARA, afin d’homogénéiser et sécuriser les données titres de la banque. Il intègre également la future solution FININFO pour les opérations sur indices et fonds alternatifs. L’approche s'inspire des meilleures pratiques de la place, migrer certains modules spécifiques (ex. contrôle dépositaire OPCVM) vers des solutions tierces spécialisées comme Fininfo Solutions.
La cible inclut aussi des dispositifs de continuité d’activité et backup pour MEGARA et les solutions tierces.
Ce chantier s’articule autour de projets en cours : refonte du module MEGARA Compliance (2025), reprise du projet Placement à l’étranger, montée de version technique de MEGARA, déploiement du module Megacor, ainsi qu'une analyse sur un PMS / advisory tool pour couvrir les besoins privés/portefeuilles et d’un fund admin system.
Activités techniques:
- Alignement et extension de MEGARA selon retours d’expérience du marché
- Rationalisation progressive des modules, en migrer certains vers Fininfo Solutions (fonds alternatifs, dépositaire…)
- Déploiement de FININFO pour instruments dérivés et fonds alternatifs
- Replatforming de l’application OPV Titre et intégration de nouveaux modules (Megacor, Compliance)
- Mise en place de backup, reprise après sinistre et sécurité autour de MEGARA &amp; Fininfo
- Développement des interfaces et synchronisation avec MEGA COMMON, BMCE Capital, CBS, CRM, workflows
- Mise en place ou conception de prototype pour PMS/advisory et fund admin system, avec analyse CBS
- Gestion du décommissionnement des modules remplacés et du pilotage de la réconciliation (manuelle dans un premier temps)</t>
  </si>
  <si>
    <t>Banque du quotidien</t>
  </si>
  <si>
    <t>Mise en place d’un Core Banking System (CBS) pour la gestion complète des comptes, dépôts, solde, produits et packages</t>
  </si>
  <si>
    <t>Ce chantier stratégique vise à déployer un Core Banking System (CBS) de nouvelle génération pour assurer la gestion centralisée et en temps réel des comptes clients, dépôts, produits bancaires, et packages commerciaux. Il remplacera les systèmes EI et Poste Agence historiques. Le CBS constituera un socle structurant pour les autres chantiers transverses (CRM, paiements, référentiels, comptabilité, …), en apportant cohérence, traçabilité et automatisation. Il intégrera des fonctions de subledger pour la tenue de compte temps réel à interfacer avec la chaîne comptable AFAH/Oracle GL, gèrera le cycle de vie des produits/packages, et offrira des APIs ouvertes pour l’interopérabilité via la plateforme d'intégration.
Activités techniques :
- Étude des solutions CBS du marché et sélection de la solution cible (en lien avec le CRM, le Hub de paiement et les Référentiels)
- Paramétrage de la solution et modélisation des produits, packages, comptes, dépôts
- Migration des données des systèmes EI/Poste Agence (comptes, soldes, dépôts, produits, packages)
- Mise en place du subledger pour la gestion de la tenue de compte en temps réel
- Développement des interfaces vers le CRM, les canaux, les systèmes de paiement, le reporting, etc.
- Décommissionnement des applications EI/Poste Agence liées à la gestion des comptes
- Déploiement progressif (phases par produit ou segment client)</t>
  </si>
  <si>
    <t>Portail Agence Unifié &amp; Migration des Applications Legacy</t>
  </si>
  <si>
    <t>Ce chantier vise à migrer les applications legacy Poste Agence (DevBooster) vers les modules CBS et à développer des vues spécifiques dans le CBS pour constituer un portail agence unifié. L’objectif est de centraliser l’interface utilisateur, fluidifier les opérations métier en agence, automatiser les processus manuels et améliorer la traçabilité. Le projet inclut aussi l’intégration avec la bancassurance, et la gestion des GAB, ainsi que le décommissionnement des anciens outils.
Activités techniques :
- Analyse fonctionnelle détaillée des besoins spécifiques non couverts par le CBS standard
- Développement de routines spécifiques dans le CBS pour combler les écarts fonctionnels
- Migration des applications legacy (dotations, conventions, coffres forts, attestations bancaires) vers CBS
- Conception et développement des vues métier spécifiques dans CBS pour le portail agence unifié
- Intégration avec le système GED pour la gestion documentaire
- Intégration avec les systèmes de bancassurance
- Interfaces pour la gestion des GAB (Guichets Automatiques Bancaires)
- Décommissionnement progressif des applications legacy Poste Agence et Portail Agence</t>
  </si>
  <si>
    <t>Paiements &amp; transaction banking</t>
  </si>
  <si>
    <t>Refonte et centralisation des systèmes de paiement et chèques/LCN et mise en place d'un Hub de Paiement ISO 20022</t>
  </si>
  <si>
    <t>Paiement et transactions (national/international)
Ce projet vise à centraliser la gestion de tous les paiements locaux et internationaux (virements, prélèvements, cash management) au sein d’un hub unique, conforme à la norme ISO 20022. 
Il intègre le remplacement des applications Poste Agence existantes relatives aux paiements et transactions locales et internationales, en modernisant leurs traitements via la mise en place d'une solution de type Hub de Paiement afin de simplifier les opérations, améliorer la conformité, le traitement comptable, renforcer le contrôle et faciliter l’évolution des systèmes. 
Les différents SOP ou canaux digitaux initiant des paiements seront interfacés avec le Hub de Paiement pour leur exécution. 
Chèques et effets
Ce chantier inclus également le replatforming de la chaîne chèques et effets en un développement interne voir l'utilisation d'un acteur local si existant et incluant les spécificités marocaines au sein de leur solution. 
Monétique
Enfin, il est recommandé d'étudier le potentiel de rationalisation de la chaîne monétique constituée de 2 éditeurs en capitalisant sur l'éditeur HPS dont la couverture fonctionnelle avec Powercard GDG est jugée satisfaisante, soit vers un nouvel éditeur. 
Activités technique
- Analyse détaillée des systèmes existants et définition du périmètre fonctionnel du Hub de Paiement
- Choix et validation des solutions techniques (développement interne, éditeur local, solutions tierces)
- Analyser les solutions de CBS et l'architecture comptable au même moment pour l'interopérabilité des systèmes
- Conception et mise en place de l’architecture technique du hub conforme ISO 20022
- Analyse des choix de migration et go-live progressif ou mini-bigbang des activités de paiement sur la(les) nouvelle(s) solution(s)
- Migration et replatforming des chaînes chèques et effets
- Intégration des différents SOPs et canaux digitaux avec le Hub de Paiement
- Rationalisation de la chaîne monétique, étude comparative entre HPS Powercard GDG et autres éditeurs
- Développement et tests des interfaces et workflows de paiement
- Gestion des aspects sécurité, conformité réglementaire et reporting en l'interfaçant avec les solutions du SI</t>
  </si>
  <si>
    <t>CIB - Institutions financières étrangères</t>
  </si>
  <si>
    <t>Modernisation des chaînes Trade &amp; Swift et rationalisation du patrimoine SI International</t>
  </si>
  <si>
    <t xml:space="preserve">Cette initiative vise à moderniser les chaînes applicatives liées aux opérations de commerce international (Trade, Swift, Titres d’importation, etc.) et à rationaliser le patrimoine applicatif existant. L’objectif est double :
Stabiliser et fiabiliser les flux opérationnels critiques (TI+, Swift, TPI, Incoming Swift, etc.) en procédant à des replatformings ciblés, à des optimisations techniques, et à une meilleure interopérabilité avec les briques digitales (FCC, Portail MPT).
Préparer le domaine "International" à l’arrivée du futur Core Banking System et Hub de Paiement, en identifiant les briques à migrer, à intégrer ou à décommissionner (Eswift, ETRANGER-SIEGE, Chargement des Tiers...).
Activités techniques
- Replatforming partiel ou complet des outils critiques (TI+, Incoming Swift, TPI)
- Optimisation des interfaces techniques et sécurisation des flux
- Analyse d’impact de l’arrivée du CBS et Hub de Paiement cible sur le domaine International
- Inventaire et qualification des applications du domaine (Trade, Swift, SIÉGE, etc.)
- Définition des plans de décommissionnement (ex : Eswift)
- Intégration des briques cibles avec les portails digitaux MPT et FCC
- Mise en conformité avec les standards Swift ISO 20022 (si applicable)
- Tests de stabilité, interopérabilité et continuité d’activité
- Coordination avec les filiales et entités à l’étranger pour alignement des processus
</t>
  </si>
  <si>
    <t>Modernisation de la Chaîne de Reporting Métier et Réglementaire</t>
  </si>
  <si>
    <t xml:space="preserve">Ce chantier vise à moderniser l'ensemble de la chaîne de reporting en construisant des datamarts optimisés, exposés via des outils de BI modernes. Il s’agit de rationaliser les flux, réduire la dépendance aux anciens systèmes (DWH, EDD, DC) afin de les décommissionner en cible une fois les principaux chantiers déversant des données dans la dataplatforme complétés (à voir sur la roadmap), et améliorer la fiabilité et la réactivité du reporting réglementaire et opérationnel en capitalisant sur les outils de reporting existant tels que Bank Reporting System (BRS). 
Activités techniques:
- Définition des indicateurs métiers et réglementaires cibles
- Construction de nouveaux datamarts spécialisés (finance, risque, conformité, etc.)
- Connexion aux sources via le datalake (CH_001)
- Interface avec les outils de reporting : BRS, RAY
- Développement et déploiement de dashboards BI (Power BI, Tableau, etc.)
- Migration des flux existants vers les nouveaux datamarts
- Décommissionnement progressif des anciens systèmes (DWH, EDD)
- Mise en place d’un système d’alertes et de supervision pour les flux critiques
- Validation métier et recette réglementaire
</t>
  </si>
  <si>
    <t>Processus d'entreprise</t>
  </si>
  <si>
    <t>Une Plateforme Documentaire Unifiée et Intelligente</t>
  </si>
  <si>
    <t>Ce chantier vise à remplacer les solutions documentaires existantes par une GED centralisée, évolutive et intégrée aux processus métier. Elle couvrira tout le cycle documentaire : numérisation, stockage, indexation, signature électronique, archivage légal et consultation. Deux options sont étudiées : capitaliser sur Docubase en étendant ses fonctionnalités, ou adopter une solution du marché (ex : OpenText) offrant des capacités d'OCR et IA. Ce chantier permettra le décomissionnement de briques EI satellites.
Activités techniques
- Analyse des besoins métiers et audit des solutions existantes (UTIA4, REFDOC, GRC HIMP, Dynamic Fusion, FORM)
- GED unique en remplacement de UTIA4, REFDOC, etc.
- Numérisation centralisée (télécollecte, PowerCapture), remplacement de GRC HIMP
- Archivage légal &amp; rétention documentaire via intégration de GNF.
- Signature électronique native intégrée à la GED.
- Édition documentaire : remplacement de Dynamic Fusion, rationalisation des outils d’édition.
- Interface avec le centre de numérisation (complexité moyenne)
- Interopérabilité avec CRM, CBS, orchestrateurs de workflows (Camunda, etc.).
- Outil FORM pour la numerisation en cours de remplacement par GNS</t>
  </si>
  <si>
    <t>Une Solution Workflow et Orchestration des Processus Métier</t>
  </si>
  <si>
    <t>Ce chantier vise à mettre en place une plateforme unifiée d’orchestration et de gestion des workflows métiers. Une solution dédiée type Camunda ou équivalente fera l’objet d’un chiffrage global, mais son utilisation sera réservée aux cas non couverts par les solutions cibles.
La stratégie repose sur une analyse au cas par cas des workflows existants :
- Si le besoin peut être intégré nativement dans les nouvelles briques cibles (CRM, CBS, etc.), il sera traité dans ces périmètres.
- À défaut, les processus spécifiques ou transverses seront migrés sur la plateforme d’orchestration centrale.
Avec pour objectifs clés de centraliser, rationaliser et gouverner les workflows critiques, garantir la fluidité inter-SI dans une architecture modulaire et offrir un pilotage opérationnel et une visibilité temps réel sur les traitements.
Activités techniques:
- Recensement des workflows existants dans DevBooster et autres ambitions métier
- Étude au cas par cas de leur future intégration dans : le CRM, CBS, ou d’autres solutions métiers (RH, Crédits, etc.)
- Chiffrage, POC et sélection d’une solution centrale type Camunda pour les workflows hors périmètre applicatif
- Définition des modèles d’orchestration, rôles et habilitations
- Intégration avec IAM, GED, CBS, CRM, et autres systèmes de gestion
- Développement des connecteurs/API
- Mise en place d’un tableau de bord de supervision transverse
- Migration progressive des workflows existants</t>
  </si>
  <si>
    <t>Mise en place d’un Cadre d’Architecture d’Entreprise Transverse</t>
  </si>
  <si>
    <t>Ce chantier vise à mettre en place un cadre d’architecture d’entreprise unifié, pragmatique et transverse, permettant de couvrir l’ensemble des dimensions du système d’information de la banque : applications, processus métier, données, technologies, infrastructure.
L’objectif est de doter la DSI d’un référentiel structurant, partagé entre les équipes, facilitant la conduite des projets de transformation, la cohérence d’ensemble, la maîtrise des dépendances et des impacts, ainsi que la gouvernance du système d’information.
La cible fonctionnelle s’appuiera sur un outil d’architecture d’entreprise (type MEGA) ou autre solution équivalente, permettant d’assurer :
Une cartographie des applications, de leurs interactions et des processus associés ;
Une modélisation des processus métiers clés, intégrant les vues front/middle/back ;
Une cartographie des données (emplacement, sensibilité, qualité, usage) ;
Une vision de l’infrastructure, couplée à la CMDB (initialement NetBox, mais possiblement migrée dans un outil ITSM plus complet).
Dans une logique de cohérence outillage, une analyse de synergie fonctionnelle devra être conduite avec les autres chantiers liés à la Gouvernance, Risque et Conformité (GRC) ainsi qu’au pilotage ITSM (type ServiceNow ou RSA Archer). Ces solutions offrent de plus en plus des modules intégrés couvrant également l’architecture d’entreprise, la gestion des actifs, la CMDB, les flux ITIL, etc.
La sélection de l’outil devra donc être convergente avec les autres projets (GRC, IT Ops) pour éviter les redondances et faciliter l’intégration des fonctions transverses.
Activités techniques :
Recensement des actifs applicatifs, processus, technologies et données ;
Définition du modèle d’architecture cible (méta-modèle, vues, niveaux) ;
Implémentation d’une solution d’architecture (MEGA, ServiceNow, autre) ;
Intégration avec la CMDB technique (NetBox ou ITSM cible) ;
Déploiement d’un tech radar SI pour le suivi du cycle de vie technologique ;
Structuration de la cartographie data et de ses usages ;
Évaluation des synergies fonctionnelles entre les outils EA, GRC et ITSM ;
Mise en place des interfaces nécessaires (IAM, outils projets, outils GRC).</t>
  </si>
  <si>
    <t>Capacités techniques</t>
  </si>
  <si>
    <t>Rationalisation et optimisation des outils de performance et supervision</t>
  </si>
  <si>
    <t>Ce chantier vise à rationaliser l’écosystème de supervision de la banque en évaluant l’usage et la valeur ajoutée des différents outils en place (Dynatrace, Centreon, ELK, etc.) dans une logique de maîtrise des coûts, de simplification du run et d’efficacité opérationnelle.
Une étude approfondie sera menée sur Dynatrace pour déterminer s’il doit être conservé (pour des cas d’usage à forte valeur ajoutée, notamment APM avancé) ou progressivement remplacé au profit de solutions plus économiques existantes comme Centreon (supervision infrastructure/applicatif) et ELK (logs, corrélation, visualisation). Le chantier s’inscrit aussi dans une volonté de renforcer les capacités internes de pilotage de la performance SI, avec un cadre outillé et unifié
Activités techniques :
Cartographie des outils et cas d’usage actuels (Dynatrace, ELK, Centreon, autres outils)
Évaluation coûts/valeur et couverture fonctionnelle de Dynatrace
Définition de l’architecture cible de supervision
Renforcement de Centreon et ELK selon les besoins retenus (paramétrage, déploiement de sondes, tableaux de bord, alerting)
Construction de dashboards unifiés pour les équipes exploitation
Déploiement des connecteurs manquants vers les SI cibles (CBS, CRM, etc.)
Plan de transition et éventuel décommissionnement ou repositionnement de Dynatrace</t>
  </si>
  <si>
    <t>Intégrations</t>
  </si>
  <si>
    <t>Mise en Place d’une Plateforme d’Intégration &amp; API Management Centralisée</t>
  </si>
  <si>
    <t>Ce chantier vise à doter la banque d’une plateforme d’intégration unifiée permettant d’orchestrer, sécuriser et tracer les échanges entre applications internes et partenaires externes, brique technologique essentielle à la transformation et orchestrations avec les briques . La solution s’appuie sur des technologies modernes (API Gateway, ESB, intégration native avec OpenShift/Red Hat) et facilite l’industrialisation des flux via des endpoints mutualisés, tout en garantissant traçabilité, sécurité, et scalabilité cloud-native.
Activités techniques:
- Étude les besoins d’intégration inter-applicative et externes
- Design de l’architecture cible (API Gateway, ESB, gestion des endpoints, etc.)
- Choix et mise en place d’une plateforme d’intégration (de type MuleSoft, Boomy, etc.)
- Intégration native avec OpenShift/RedHat
- Mise en place de l'API Gateway pour sécuriser, exposer, tracer les API internes/externes
- Déploiement de catalogues d’API, gestion des versions et réutilisabilité
- Intégration aux outils de monitoring, logs, alertes, observabilité
- Création d’un portail développeurs et d’un cadre de gouvernance API
- Intégration initiale de cas d’usage transverses
- Documentation technique et formation des équipes pour la mise en place d'un centre d'expertise</t>
  </si>
  <si>
    <t>Evolution des processus ETL et traitements batch</t>
  </si>
  <si>
    <t>Ce chantier vise à maintenir les outils ETL existants (notamment SAP Integrator) lorsqu’ils répondent aux besoins des systèmes opérationnels, tout en développant et intégrant des solutions modernes (Cloudera, NIFI, Pyspark) pour le data lake afin d’assurer une gestion efficace, évolutive et scalable des flux de données.
Une évaluation précise des flux SAP Integrator sera réalisée afin de déterminer, en fonction de la plateforme d’intégration cible, si leur maintien est justifié ou si une rationalisation est possible, notamment avec l’introduction des outils liés à Cloudera.
Par ailleurs, un pattern standardisé de développement des traitements batch sera mis en place pour réduire la dette technique existante et rapprocher la logique métier des applications cœur.
Activités techniques :
Audit et analyse des flux ETL actuels (SAP Integrator, etc.)
Étude d’impact et évaluation de la cible d’intégration (plateforme data lake Cloudera et outils associés)
Développement et intégration de solutions modernes (NIFI, Pyspark) pour les nouveaux besoins data lake
Mise en place d’un pattern standardisé pour les traitements batch
Rationalisation et consolidation des outils ETL selon les résultats d’évaluation
Coordination avec les équipes data et métier pour assurer la cohérence fonctionnelle</t>
  </si>
  <si>
    <t>Modernisation et sécurisation des échanges de fichiers</t>
  </si>
  <si>
    <t>Ce chantier vise à moderniser les mécanismes d’échanges de fichiers inter-applicatifs et externes (partenaires, clients corporate) en rationalisant les protocoles et solutions existants. Il prévoit la migration progressive des échanges vers des solutions sécurisées et robustes telles que Secure Transport, CIMT, et le maintien des briques critiques comme GNS EDI. L’objectif est de garantir des transferts fiables, conformes aux normes actuelles (comme ISO 20022), tout en supprimant progressivement les solutions obsolètes telles qu’UAP.
Ce chantier implique également une concertation étroite avec les clients corporate, les partenaires techniques et les équipes IT pour assurer la compatibilité et la continuité des flux critiques (paiement, reporting, déclaration réglementaire, etc.).
Activités techniques :
Cartographie des flux actuels et des solutions de transfert (UAP, FTP, Secure Transport, CIMT, GNS EDI…)
Évaluation de la pérennité et des faiblesses des outils actuels (obsolescence, sécurité, coûts)
Définition de l’architecture cible d’échange (par domaine : inter-applicatif, corporate, partenaires, régulateurs…)
Plan de migration des flux vers les solutions cibles (CIMT, Secure Transport)
Sécurisation et chiffrement des échanges critiques (ex. avec certificats, tunnels TLS)
Mise à jour des procédures d’exploitation et gestion des droits d’accès</t>
  </si>
  <si>
    <t>Amélioration continue du pipeline DevSecOps et rationalisation des pratiques de la software factory</t>
  </si>
  <si>
    <t>Ce chantier vise à renforcer l’automatisation, la sécurité et la qualité des développements au sein de la Software Factory, en poursuivant l’évolution du pipeline DevSecOps basé sur des outils full cloud privé (Argo CD, Jenkins, Nexus, SonarQube, TRIVI, Wasp, etc.). Il inclut l’intégration de GitLab Premium pour une gestion unifiée du code et des workflows DevOps, et l’optimisation du cycle de livraison via une orchestration fine des tests manuels et automatiques.
Une attention particulière sera portée à :
La gouvernance des technologies à utiliser pour les nouveaux développements (Java, React, Kotlin, Swift),
L’introduction de solutions d’AI coding (comme Mistral Code),
L’étude du passage de la suite Atlassian (Jira/Confluence) vers le cloud,
L’enrichissement des pratiques de sécurité avec des outils comme Fortify DevSecOps.
L’objectif est de structurer une Software Factory pérenne, outillée, sécurisée et efficace pour soutenir la croissance du SI.
Activités techniques :
Intégration de GitLab Premium comme SCM principal et synchronisation des workflows DevOps
Extension de l’usage de Mistral Code pour l’aide au développement par IA scaler à l'ajout d'ai coding
Enrichissement du pipeline CI/CD (tests automatiques, revues de code, scans de vulnérabilités, pentests)
Étude comparative et cadrage de la migration Cloud Atlassian (Jira/Confluence)
Intégration ou évaluation de Fortify dans le pipeline DevSecOps
Formalisation des frameworks technologiques standards pour les nouveaux projets (langages, frameworks, outils)
Déploiement de standards de documentation et de conventions de développement</t>
  </si>
  <si>
    <t>Des Services IT Performants et Orientés Client via une plateforme ITSM modernisée</t>
  </si>
  <si>
    <t>Ce chantier vise à déployer une plateforme ITSM moderne (type Jira Service Management ou ServiceNow), conforme aux meilleures pratiques ITIL, pour soutenir la transformation IT, améliorer la qualité de service, la gouvernance, et offrir une gestion structurée des processus IT (incidents, demandes, changements, catalogue de services, etc.).
Il s’agit également d’assurer une vue unifiée et centralisée des configurations, actifs IT et dépendances techniques en s’appuyant sur une CMDB intégrée (NetBox ou équivalent), tout en assurant une bonne interopérabilité avec les outils existants (Qualiparc, etc.).
Une réflexion stratégique est attendue sur le choix de la plateforme, sa couverture fonctionnelle et sa capacité à remplacer ou interfacer les solutions existantes en cas de redondance fonctionnelles. 
Activités techniques :
Cadrage fonctionnel des processus ITIL à couvrir (incidents, demandes, changements, problèmes, CMDB…)
Étude comparative et sélection d'une solution ITSM (Jira Service Management, ServiceNow…)
Définition du modèle de données et intégration avec la CMDB NetBox
Analyse des outils existants (Qualiparc, SATIS…) et plan de migration ou interfaçage
Paramétrage du catalogue de services IT et automatisation des processus clés
Mise en place de KPIs et dashboards de pilotage IT
Déploiement pilote puis montée en charge progressive</t>
  </si>
  <si>
    <t>Optimisation de la gestion de portefeuille projets</t>
  </si>
  <si>
    <t>Ce chantier vise à moderniser la gestion du portefeuille projets en remplaçant l’outil interne Cubix (basé sur SharePoint) par Kockpit, la solution retenue par BOA, en cours de financement. Il inclut également l’analyse des outils utilisés au sein d’EAI, notamment les dashboards actuels, afin d’étudier leur remplacement et éviter les redondances.
Ce chantier vise aussi à mettre en place un référentiel unique de codification projets, des règles de gouvernance harmonisées, et un dispositif de support et formation pour assurer l’adoption par l’ensemble des parties prenantes.
Activités techniques :
Déploiement de la solution Cockpit pour BOA et paramétrage initial
Analyse des outils EAI existants à rationaliser (Cubix, dashboards Excel, autres outils internes)
Définition d’un référentiel projet unique (codification, statuts, KPI, portefeuilles, etc.)
Mise en place de la gouvernance projet commune (règles, rôles, responsabilités)
Connectivité avec d’autres outils (Jira, SAP, CRM, etc.) si besoin
Formation des utilisateurs &amp; support de mise en œuvre</t>
  </si>
  <si>
    <t>Cybersécurité : Un Enjeu Stratégique, une Réponse Renforcée</t>
  </si>
  <si>
    <t>Ce chantier vise à renforcer la sécurité du système d’information (SI) BoA via un ensemble intégré de mesures couvrant le contrôle d’accès, la segmentation réseau, la surveillance des événements de sécurité, la protection des postes, la gestion des données sensibles, ainsi que le renforcement et la résilience du SI. La démarche inclut l’implémentation de solutions avancées IAM (MFA, SSO, PAM), segmentation fine avec Illumio, plateformes SIEM/SOAR pour détection et réponse, protection des API et flux applicatifs, chiffrement et gestion des clés, sécurisation des consoles administratives, protection des endpoints, architecture tolérante aux pannes, gestion des vulnérabilités, et sensibilisation des utilisateurs.
Activités techniques:
- Mise en place d’une solution IAM avec MFA, SSO, et PAM
- Segmentation et micro-segmentation réseau avec Illumio, refonte DMZ, NAC
- Déploiement d’une plateforme SIEM/SOAR intégrée avec Threat Intelligence
- Installation de postes sécurisés (jump servers) pour accès administratifs
- Protection des API via API Gateway, WAF, DLP, intégration DevSecOps
- Chiffrement des données au repos et en transit, gestion des clés via HSM
- Mise en œuvre de solutions EDR/EPP/XDR, sandboxing et SOC
- Renforcement de la résilience via PCA/PRA, gestion de crise, PRA cloud
- Mise en place de passerelles sécurisées email (SEG) avec filtres anti-phishing
- Déploiement de campagnes de sensibilisation et plateforme LMS pour formation cyber
- Gestion continue des vulnérabilités et tests de pénétration
- Centralisation du référentiel applicatif et cartographie des dépendances
- Implémentation d’une architecture Zero Trust (ZTNA, proxies, microsegmentation)
- Mise en place de classification, DLP, chiffrement et gouvernance des données
- Gestion sécurisée des secrets via Vault et intégration CI/CD
- Renforcement des configurations système selon benchmarks CIS
- Intégration de solutions DAST, SAST, SCA dans la pipeline DevOps
- Gestion et contrôle de conformité des postes via MDM et politique de sécurité</t>
  </si>
  <si>
    <t>Modernisation de la Fiscalité, de la Consolidation Financière et du Pilotage Budgétaire</t>
  </si>
  <si>
    <t>Ce chantier vise la modernisation du système de gestion fiscale, le remplacement progressif de la solution interne actuelle (Télédéclaration) par la solution du marché retenue (Omnidata), ainsi que l'amélioration de la gouvernance des processus fiscaux. L’objectif est de réduire les traitements manuels, sécuriser les déclarations, et fiabiliser les échanges avec l’administration fiscale.
Ce chantier intègre également 3 volets stratégiques :
- Déploiement et intégration de la solution de gestion et déclaration fiscale
- Migration de SAP BO Financial Consolidation, suite à l’arrêt de support global prévu fin 2030. Une analyse est à mener entre deux options : migration vers SAP Group Reporting ou réorientation vers une nouvelle solution, potentiellement Oracle.
- Lancement d’un programme d’étude et de mise en place d’un outil de gestion budgétaire et de prévision (budget forecasting management). Cette phase exploratoire vise à remplacer les pratiques actuelles fondées sur Excel par une solution robuste (type Anaplan, Oracle Planning Cloud, etc.), avec une gouvernance adaptée.
Activités techniques:
Déploiement de la solution fiscale Omnidata (paramétrage, intégration, sécurité, formation).
Décommissionnement de l’outil interne Télédéclaration.
Analyse comparative des options de migration de BO Financial Consolidation (SAP Group Reporting vs. solutions alternatives type Oracle).
Audit des processus actuels de budget prévisionnel (Excel) et définition des besoins fonctionnels.
Étude de marché et choix d’un éditeur pour la solution de budget forecasting.
Préparation à l’intégration avec les solutions Finance, Comptabilité (GL Oracle), et potentiellement CBS.
Mise en place d’un cadre de gouvernance pour le pilotage budgétaire et la projection financière.</t>
  </si>
  <si>
    <t>Modernisation et rationnalisation des outils de communication</t>
  </si>
  <si>
    <t>Ce chantier vise à moderniser, sécuriser et rationaliser les outils de communication utilisés par la banque. Il inclut le remplacement des solutions obsolètes, l’intégration d’outils collaboratifs modernes (Microsoft Teams, Exchange SE) ainsi que la mise en place d’un système sécurisé de transcription automatique pour les réunions de gouvernance, avec génération de comptes rendus et plans d’action.
L’objectif est d’améliorer l’efficacité des échanges internes tout en assurant la conformité, la traçabilité et la confidentialité des communications à haute valeur ajoutée.
Activités techniques:
Migration vers Exchange SE (feuille de route existante)
Étude de la migration vers Azure M365 on-premise pour mise en conformité locale
Passage de Skype vers Microsoft Teams pour la collaboration temps réel
Décommissionnement de Webdev (fin de licence)
Etudier l'acquisition d’un outil de transcription automatique sécurisé avec génération de comptes rendus/action plans (IA, cloud sécurisé, stockage local si besoin) à analyser
Alignement des outils avec les politiques de sécurité IT</t>
  </si>
  <si>
    <t>Infrastructure IT Résiliente &amp; Scalable pour Accompagner la Transformation</t>
  </si>
  <si>
    <t>Ce chantier vise à adapter en continu l’infrastructure IT pour répondre aux besoins croissants des projets de transformation (cloud privé, CBS, CRM, Datalake, etc.). Il comprend la mise à niveau des environnements X86 (Red Hat / Microsoft), la sécurisation des sauvegardes, l'optimisation des coûts d’infrastructure (licences, stockage, virtualisation), ainsi que le décommissionnement progressif des serveurs obsolètes. L'objectif est de garantir haute résilience, scalabilité et continuité des opérations.
Activités techniques:
- Mise à jour et upgrade de l’infrastructure IBM Power &amp; Stockage, en tenant compte des niveaux HA existants
- Renforcement des clusters X86 : Cluster Microsoft, Cluster Red Hat avec stockage HPE dédié
- Renouvellement des licences aligné avec les souscriptions existantes (OS, virtualisation, backup)
- Dimensionnement et sizing complet du site BSK, avec extension prévisionnelle pour le deuxième site (×1.8)
- Optimisation des coûts liés au SAN (prise en compte d’une occupation réaliste à 25 %)
- Modernisation des solutions de sauvegarde et d’archivage (TSM, Veritas)
- Décommissionnement des anciens serveurs non utilisés pour rationaliser l’infrastructure
- Provision budgétaire avec marge de sécurité pour absorber les hausses de prix potentielles</t>
  </si>
  <si>
    <t>Centralisation et Rationalisation du Hub LLM - IA/ML &amp; Big Data</t>
  </si>
  <si>
    <t>Ce projet vise à créer un hub centralisé regroupant l’ensemble des outils et plateformes liés à l’IA, au machine learning et au Big Data. L’objectif est de rationaliser l’écosystème actuel en déployant un environnement moderne basé sur un datalake capable de stocker massivement, de traiter les données de façon distribuée et de supporter les cas d’usage complexes. La transformation inclut également la décommission progressive des outils obsolètes (Business Object, QlikView) et la migration sécurisée des flux métier vers cette nouvelle plateforme, garantissant la continuité des opérations. Ce chantier devra mettre en place les briques techniques nécessaires à l'impémentation des ambitions métiers autour du GenAI et de la BigData, veille de marché, etc.
Activités techniques:
- Analyse et cartographie détaillée des outils IA/ML, Big Data, Cloudera et LLM existants avec évaluation des redondances possibles
- Design de l’architecture centralisée du Hub (datalake, stockage, calcul distribué) et sélection de la technologie cible
- Mise en place d’une plateforme de stockage massive (datalake) scalable et sécurisée
- Intégration de frameworks IA/ML et LLM adaptés aux cas d’usage banque
- Développement des pipelines de données pour ingestion, transformation, et traitement distribué
- Migration des flux existants depuis SAP Business Object, QlikView vers la nouvelle plateforme
- Décommissionnement progressif des anciens outils et vérification de la continuité métier</t>
  </si>
  <si>
    <t>Refonte du canal eBanking BMCE Direct pour le retail</t>
  </si>
  <si>
    <t>Ce chantier vise à refondre complètement l’expérience digitale pour les clients particuliers à travers un nouveau portail BMCE Direct. Il s’appuie sur une solution eBanking modulaire, potentiellement utilisant la stack de Business Online (stack Adria) ou encore via un développement interne, capable d’orchestrer les parcours bancaires de manière fluide, multicanale, et intégrée avec les systèmes cœur (CBS, CRM, référentiels).
La plateforme intégrera les fonctionnalités historiques (virements, paiements, accès, e-docs), tout en les enrichissant via une UX personnalisée, multilingue (dont l'arabe), responsive et contextualisée (consolidation multi-comptes, catégorisation des dépenses, tableaux de bord).
Elle regroupera aussi les services d’Agence Direct, de crédit conso et immobilier, pour en faire un véritable canal de vente et de relation client retail.
Activités techniques:
- Analyse de la stack technologique du MVP existant (banque en ligne) et évaluation de son extensibilité
- Design UX/UI des parcours utilisateurs (responsive, multilingue, vision 360°)
- Migration progressive des fonctionnalités actuelles (virements, paiements, documents, alertes, accès)
- Intégration avec CBS cible, CRM, et autres back-offices (hub de paiement, evolan loans, référentiels, ...)
- Développement des interfaces pour les services agence direct, crédits conso/immobilier
- Mise en place de dashboards personnalisés, gestion des préférences, catégorisation des opérations
- Tests utilisateurs et cycles d’amélioration continue sur la base des feedbacks
- Décommissionnement progressif de l’existant BMCE Direct et portails spécifiques</t>
  </si>
  <si>
    <t>Mise en place d'une solution de Enterprise Content Management en remplacement de PIXIS</t>
  </si>
  <si>
    <t>Ce chantier vise à remplacer l’intranet groupe PIXIS (EI) par une solution ECM performante, dédiée à l’exposition des documents stratégiques, procédures, chartes et contenus métiers. Il s'agit de faciliter l’accès, le partage et la mise à jour des documents tout en garantissant leur intégration avec la GED centrale de la banque. Le projet inclut le cadrage des besoins, la sélection de la solution ECM, la migration des contenus existants, la gouvernance documentaire, la gestion des accès via IAM, ainsi que l’extraction simple des documents pour des usages spécifiques.
Activités techniques Analyse des besoins spécifiques et audit des usages PIXIS; Cadrage fonctionnel et coordination avec le chantier GED centrale; Sélection et contractualisation de la solution ECM intégrée à la GED; Migration progressive, nettoyage et structuration des contenus; Paramétrage des workflows de gestion documentaire; Mise en place de la gestion des accès via IAM; Développement des interfaces d’extraction documentaire pour usages comptables et métiers; Organisation du stockage sécurisé dans la GED centrale avec exposition via ECM.</t>
  </si>
  <si>
    <t>Pilotage &amp; Gestion du changement</t>
  </si>
  <si>
    <t xml:space="preserve">Pilotage de la transformation </t>
  </si>
  <si>
    <t>Ce chantier a pour objectif de coordonner et superviser l’ensemble des 47 chantiers définis dans le cadre de la transformation globale de la banque. Il s'agit d'assurer la cohérence, la priorisation, le suivi et la gouvernance des projets, depuis le cadrage jusqu’à la livraison, en passant par l’analyse détaillée des architectures, les ambitions métiers et la contractualisation avec les fournisseurs, spécifiquement Euro-Information pour atteindre entre autres l’objectif de décommissionnement à 3-5 ans des applicatifs EI. Ce chantier transversal inclut notamment :
Le cadrage précis de chaque chantier (objectifs, périmètres, ressources, jalons, transitions détaillées) 
Le pilotage transverse de ces chantiers (feuille de route globale, suivi des dépendances entres chantiers, des grands jalons)
La mise en place d’un PMO transverse pour établir la méthodologie de pilotage du projet et la déployer dans les différents chantiers
La gestion des chefs de projet (PM) dédiés pour garantir le respect des délais, coûts et qualité.
La contractualisation avec Euro-Information pour les transitions et le décommissionnement progressif de leurs services.
Le pilotage des interactions entre métiers, AMOA, EAI, IT et fournisseurs, afin de garantir la fluidité du projet global.</t>
  </si>
  <si>
    <t>Conduite du changement</t>
  </si>
  <si>
    <t>Ce chantier vise à accompagner l’ensemble des parties prenantes de la banque dans l’adoption des nouveaux outils, processus, organisations et procédures issus de la transformation. Il s'agit d’assurer une transition fluide en minimisant les résistances, en favorisant l’adhésion, et en garantissant la continuité des activités tout au long du programme de transformation. Ce budget n’inclut pas les formations Académie ni formations en agence. 
Il comprend :
La définition d’une stratégie de conduite du changement transverse alignée sur les ambitions de la transformation, hypothèse prise type « trend the trainer »
La cartographie des populations impactées 
L’élaboration et le déploiement des plans de communication, formation, accompagnement managérial
L’animation des relais du changement au sein des chantiers et directions
La mesure de l’adhésion et de l’appropriation (indicateurs, feedbacks, ajustements)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</si>
</sst>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color theme="1"/>
      <name val="Aptos Narrow"/>
      <family val="2"/>
      <scheme val="minor"/>
    </font>
    <font>
      <i/>
      <sz val="11"/>
      <color theme="1"/>
      <name val="Aptos Narrow"/>
      <family val="2"/>
      <scheme val="minor"/>
    </font>
  </fonts>
  <fills count="6">
    <fill>
      <patternFill patternType="none"/>
    </fill>
    <fill>
      <patternFill patternType="gray125"/>
    </fill>
    <fill>
      <patternFill patternType="solid">
        <fgColor theme="5" tint="-0.249977111117893"/>
        <bgColor indexed="64"/>
      </patternFill>
    </fill>
    <fill>
      <patternFill patternType="solid">
        <fgColor theme="9"/>
        <bgColor indexed="64"/>
      </patternFill>
    </fill>
    <fill>
      <patternFill patternType="solid">
        <fgColor theme="3"/>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3" fontId="2" fillId="4" borderId="0" xfId="1" applyFont="1" applyFill="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164" fontId="0" fillId="0" borderId="1" xfId="1" applyNumberFormat="1" applyFont="1" applyBorder="1" applyAlignment="1">
      <alignment horizontal="center" vertical="center"/>
    </xf>
    <xf numFmtId="0" fontId="0" fillId="5" borderId="1" xfId="0" applyFill="1" applyBorder="1" applyAlignment="1">
      <alignment horizontal="center" vertical="center" wrapText="1"/>
    </xf>
    <xf numFmtId="164" fontId="0" fillId="0" borderId="1" xfId="1" applyNumberFormat="1" applyFont="1" applyBorder="1" applyAlignment="1">
      <alignment vertical="center"/>
    </xf>
    <xf numFmtId="164" fontId="0" fillId="0" borderId="1" xfId="1" applyNumberFormat="1" applyFont="1" applyFill="1" applyBorder="1" applyAlignment="1">
      <alignment vertical="center"/>
    </xf>
    <xf numFmtId="0" fontId="0" fillId="0" borderId="0" xfId="0" applyAlignment="1">
      <alignment vertical="center"/>
    </xf>
    <xf numFmtId="0" fontId="5" fillId="5" borderId="1" xfId="0" applyFont="1" applyFill="1" applyBorder="1" applyAlignment="1">
      <alignment horizontal="center" vertical="center"/>
    </xf>
    <xf numFmtId="43" fontId="0" fillId="0" borderId="1" xfId="1" applyFont="1" applyBorder="1" applyAlignment="1">
      <alignment vertical="center"/>
    </xf>
    <xf numFmtId="0" fontId="0" fillId="5" borderId="1" xfId="0" applyFill="1" applyBorder="1" applyAlignment="1">
      <alignment horizontal="center" wrapText="1"/>
    </xf>
    <xf numFmtId="43" fontId="0" fillId="0" borderId="0" xfId="1" applyFont="1"/>
    <xf numFmtId="43" fontId="3" fillId="0" borderId="0" xfId="1" applyFont="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mimoula\AppData\Local\Microsoft\Windows\INetCache\Content.Outlook\O289ZQRJ\Fichier%20de%20chiffrage%20et%20trajectoire%20financi&#232;re%20-%203%20ans%20-%20Phase%204%20-%20v02.xlsx" TargetMode="External"/><Relationship Id="rId1" Type="http://schemas.openxmlformats.org/officeDocument/2006/relationships/externalLinkPath" Target="/Users/hmimoula/AppData/Local/Microsoft/Windows/INetCache/Content.Outlook/O289ZQRJ/Fichier%20de%20chiffrage%20et%20trajectoire%20financi&#232;re%20-%203%20ans%20-%20Phase%204%20-%20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troduction &amp; Hypothèses"/>
      <sheetName val="Exec Sum - Estimations Globales"/>
      <sheetName val="Exec Sum - Details Chantiers"/>
      <sheetName val="Licence CHECK"/>
      <sheetName val="Top 10 chantiers"/>
      <sheetName val="Top 10 chantiers (v_steerco)"/>
      <sheetName val="Tous chantiers"/>
      <sheetName val="3. Liste des chantiers"/>
      <sheetName val="4. Simulateur Chantier"/>
      <sheetName val="5. Base Chiffrage"/>
      <sheetName val="TVO backup"/>
      <sheetName val="TVO (2)"/>
      <sheetName val="Sheet2"/>
      <sheetName val="TVO"/>
      <sheetName val="TVO check"/>
      <sheetName val="6.1 Répartition Cap Total - NEW"/>
      <sheetName val="6.1 Rép Cap Total - SANS Conti"/>
      <sheetName val="7.1 Rép Cap Profil Total - NEW"/>
      <sheetName val="6. Répartition Capacité Total"/>
      <sheetName val="7. Sim Capa Chantier Time"/>
      <sheetName val="7.1 Rép Cap Profil Total - GPI"/>
      <sheetName val="7.1 Rép Cap Profil Total -  EP"/>
      <sheetName val="2. Paramètres"/>
      <sheetName val="7.1 Rép Cap Profil Total - EP N"/>
      <sheetName val="7.1 Rép Cap Profil - SANS Conti"/>
      <sheetName val="Rép Chantiers Clés"/>
      <sheetName val="Propale"/>
      <sheetName val="7.2 Rép Cap Profil Total -  BOA"/>
      <sheetName val="7.2 Rép Cap Profil Total BOA EP"/>
      <sheetName val="_tableaux pour ppt plan cap"/>
      <sheetName val="7.2 Rép Cap Profil To EXTM EP"/>
      <sheetName val="7.2 Rép Cap Profil To EXTI EP"/>
      <sheetName val="7.2 Rép Cap Profil Total BOA GP"/>
      <sheetName val="7.2 Rép Cap Profil Total - EXTM"/>
      <sheetName val="7.2 Rép Cap Profil To EXTM GPI"/>
      <sheetName val="7.2 Rép Cap Profil Total - EXTI"/>
      <sheetName val="7.2 Rép Cap Profil Tot EXTI GPI"/>
      <sheetName val="_cap par BOA EXTM EXTI"/>
      <sheetName val="7.3 Conso Rép Cap Profil Typo"/>
      <sheetName val="10. Plan Capacitaire"/>
      <sheetName val="8. Base Chantier VF"/>
      <sheetName val="9. TCD"/>
      <sheetName val="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8">
          <cell r="D48">
            <v>18</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5E6A0-88AF-432A-BFBF-C96D9F8007DE}">
  <dimension ref="A1:N48"/>
  <sheetViews>
    <sheetView tabSelected="1" topLeftCell="E47" workbookViewId="0">
      <selection activeCell="L48" sqref="L48"/>
    </sheetView>
  </sheetViews>
  <sheetFormatPr baseColWidth="10" defaultColWidth="8.7265625" defaultRowHeight="14.5" x14ac:dyDescent="0.35"/>
  <cols>
    <col min="1" max="1" width="11.7265625" customWidth="1"/>
    <col min="2" max="3" width="24.54296875" customWidth="1"/>
    <col min="4" max="4" width="46.54296875" customWidth="1"/>
    <col min="5" max="10" width="23" customWidth="1"/>
    <col min="11" max="11" width="12.26953125" hidden="1" customWidth="1"/>
    <col min="12" max="12" width="23" style="15" customWidth="1"/>
  </cols>
  <sheetData>
    <row r="1" spans="1:12" ht="56.25" customHeight="1" x14ac:dyDescent="0.35">
      <c r="A1" s="1" t="s">
        <v>0</v>
      </c>
      <c r="B1" s="1" t="s">
        <v>1</v>
      </c>
      <c r="C1" s="1" t="s">
        <v>2</v>
      </c>
      <c r="D1" s="1" t="s">
        <v>3</v>
      </c>
      <c r="E1" s="1" t="s">
        <v>5</v>
      </c>
      <c r="F1" s="1" t="s">
        <v>6</v>
      </c>
      <c r="G1" s="1" t="s">
        <v>7</v>
      </c>
      <c r="H1" s="1" t="s">
        <v>8</v>
      </c>
      <c r="I1" s="1" t="s">
        <v>9</v>
      </c>
      <c r="J1" s="1" t="s">
        <v>10</v>
      </c>
      <c r="K1" s="2" t="s">
        <v>4</v>
      </c>
      <c r="L1" s="3" t="s">
        <v>11</v>
      </c>
    </row>
    <row r="2" spans="1:12" s="11" customFormat="1" ht="78" customHeight="1" x14ac:dyDescent="0.35">
      <c r="A2" s="4" t="s">
        <v>12</v>
      </c>
      <c r="B2" s="4" t="s">
        <v>58</v>
      </c>
      <c r="C2" s="5" t="s">
        <v>59</v>
      </c>
      <c r="D2" s="6" t="s">
        <v>60</v>
      </c>
      <c r="E2" s="7">
        <v>1800</v>
      </c>
      <c r="F2" s="9">
        <v>8705812.5</v>
      </c>
      <c r="G2" s="10">
        <v>0</v>
      </c>
      <c r="H2" s="10">
        <v>920000</v>
      </c>
      <c r="I2" s="10">
        <v>0</v>
      </c>
      <c r="J2" s="10">
        <v>0</v>
      </c>
      <c r="K2" s="8"/>
      <c r="L2" s="9">
        <v>9625812.5</v>
      </c>
    </row>
    <row r="3" spans="1:12" s="11" customFormat="1" ht="66.75" customHeight="1" x14ac:dyDescent="0.35">
      <c r="A3" s="4" t="s">
        <v>13</v>
      </c>
      <c r="B3" s="4" t="s">
        <v>61</v>
      </c>
      <c r="C3" s="5" t="s">
        <v>62</v>
      </c>
      <c r="D3" s="6" t="s">
        <v>63</v>
      </c>
      <c r="E3" s="7">
        <v>1622.8571428571427</v>
      </c>
      <c r="F3" s="9">
        <v>5097069.7142857155</v>
      </c>
      <c r="G3" s="10">
        <v>202702.5</v>
      </c>
      <c r="H3" s="10">
        <v>11754997.02</v>
      </c>
      <c r="I3" s="10">
        <v>2172354</v>
      </c>
      <c r="J3" s="10">
        <v>0</v>
      </c>
      <c r="K3" s="8"/>
      <c r="L3" s="9">
        <v>19227123.234285716</v>
      </c>
    </row>
    <row r="4" spans="1:12" s="11" customFormat="1" ht="98.5" customHeight="1" x14ac:dyDescent="0.35">
      <c r="A4" s="4" t="s">
        <v>14</v>
      </c>
      <c r="B4" s="4" t="s">
        <v>64</v>
      </c>
      <c r="C4" s="5" t="s">
        <v>65</v>
      </c>
      <c r="D4" s="6" t="s">
        <v>66</v>
      </c>
      <c r="E4" s="7">
        <v>150</v>
      </c>
      <c r="F4" s="9">
        <v>488025</v>
      </c>
      <c r="G4" s="10">
        <v>0</v>
      </c>
      <c r="H4" s="10">
        <v>0</v>
      </c>
      <c r="I4" s="10">
        <v>0</v>
      </c>
      <c r="J4" s="10">
        <v>0</v>
      </c>
      <c r="K4" s="12"/>
      <c r="L4" s="9">
        <v>488025</v>
      </c>
    </row>
    <row r="5" spans="1:12" s="11" customFormat="1" ht="107.25" customHeight="1" x14ac:dyDescent="0.35">
      <c r="A5" s="4" t="s">
        <v>15</v>
      </c>
      <c r="B5" s="4" t="s">
        <v>67</v>
      </c>
      <c r="C5" s="5" t="s">
        <v>68</v>
      </c>
      <c r="D5" s="6" t="s">
        <v>69</v>
      </c>
      <c r="E5" s="7">
        <v>148.57142857142856</v>
      </c>
      <c r="F5" s="9">
        <v>612530.2857142858</v>
      </c>
      <c r="G5" s="10">
        <v>489950.37</v>
      </c>
      <c r="H5" s="10">
        <v>0</v>
      </c>
      <c r="I5" s="10">
        <v>0</v>
      </c>
      <c r="J5" s="10">
        <v>0</v>
      </c>
      <c r="K5" s="8"/>
      <c r="L5" s="9">
        <v>1102480.6557142858</v>
      </c>
    </row>
    <row r="6" spans="1:12" s="11" customFormat="1" ht="142" customHeight="1" x14ac:dyDescent="0.35">
      <c r="A6" s="4" t="s">
        <v>16</v>
      </c>
      <c r="B6" s="4" t="s">
        <v>70</v>
      </c>
      <c r="C6" s="5" t="s">
        <v>71</v>
      </c>
      <c r="D6" s="6" t="s">
        <v>72</v>
      </c>
      <c r="E6" s="7">
        <v>1428.5714285714284</v>
      </c>
      <c r="F6" s="9">
        <v>4085357.1428571432</v>
      </c>
      <c r="G6" s="10">
        <v>0</v>
      </c>
      <c r="H6" s="10">
        <v>0</v>
      </c>
      <c r="I6" s="10">
        <v>0</v>
      </c>
      <c r="J6" s="10">
        <v>0</v>
      </c>
      <c r="K6" s="12"/>
      <c r="L6" s="9">
        <v>4085357.1428571432</v>
      </c>
    </row>
    <row r="7" spans="1:12" s="11" customFormat="1" ht="83.15" customHeight="1" x14ac:dyDescent="0.35">
      <c r="A7" s="4" t="s">
        <v>17</v>
      </c>
      <c r="B7" s="4" t="s">
        <v>73</v>
      </c>
      <c r="C7" s="5" t="s">
        <v>74</v>
      </c>
      <c r="D7" s="6" t="s">
        <v>75</v>
      </c>
      <c r="E7" s="7">
        <v>8971.4285714285725</v>
      </c>
      <c r="F7" s="9">
        <v>49579478.571428575</v>
      </c>
      <c r="G7" s="10">
        <v>0</v>
      </c>
      <c r="H7" s="10">
        <v>20354490</v>
      </c>
      <c r="I7" s="10">
        <v>0</v>
      </c>
      <c r="J7" s="10">
        <v>0</v>
      </c>
      <c r="K7" s="12"/>
      <c r="L7" s="13">
        <v>69933968.571428567</v>
      </c>
    </row>
    <row r="8" spans="1:12" ht="336" customHeight="1" x14ac:dyDescent="0.35">
      <c r="A8" s="4" t="s">
        <v>18</v>
      </c>
      <c r="B8" s="4" t="s">
        <v>73</v>
      </c>
      <c r="C8" s="5" t="s">
        <v>76</v>
      </c>
      <c r="D8" s="6" t="s">
        <v>77</v>
      </c>
      <c r="E8" s="7">
        <v>1428.5714285714284</v>
      </c>
      <c r="F8" s="9">
        <v>4486857.1428571437</v>
      </c>
      <c r="G8" s="10">
        <v>0</v>
      </c>
      <c r="H8" s="10">
        <v>0</v>
      </c>
      <c r="I8" s="10">
        <v>0</v>
      </c>
      <c r="J8" s="10">
        <v>0</v>
      </c>
      <c r="K8" s="14"/>
      <c r="L8" s="9">
        <v>4486857.1428571437</v>
      </c>
    </row>
    <row r="9" spans="1:12" ht="95.5" customHeight="1" x14ac:dyDescent="0.35">
      <c r="A9" s="4" t="s">
        <v>19</v>
      </c>
      <c r="B9" s="4" t="s">
        <v>78</v>
      </c>
      <c r="C9" s="5" t="s">
        <v>79</v>
      </c>
      <c r="D9" s="6" t="s">
        <v>80</v>
      </c>
      <c r="E9" s="7">
        <v>12144</v>
      </c>
      <c r="F9" s="9">
        <v>68806747.428571433</v>
      </c>
      <c r="G9" s="10">
        <v>0</v>
      </c>
      <c r="H9" s="10">
        <v>0</v>
      </c>
      <c r="I9" s="10">
        <v>0</v>
      </c>
      <c r="J9" s="10">
        <v>0</v>
      </c>
      <c r="K9" s="12"/>
      <c r="L9" s="9">
        <v>68806747.428571433</v>
      </c>
    </row>
    <row r="10" spans="1:12" ht="94.4" customHeight="1" x14ac:dyDescent="0.35">
      <c r="A10" s="4" t="s">
        <v>20</v>
      </c>
      <c r="B10" s="4" t="s">
        <v>81</v>
      </c>
      <c r="C10" s="5" t="s">
        <v>82</v>
      </c>
      <c r="D10" s="6" t="s">
        <v>83</v>
      </c>
      <c r="E10" s="7">
        <v>1781.8181818181818</v>
      </c>
      <c r="F10" s="9">
        <v>7880863.0303030293</v>
      </c>
      <c r="G10" s="10">
        <v>0</v>
      </c>
      <c r="H10" s="10">
        <v>0</v>
      </c>
      <c r="I10" s="10">
        <v>0</v>
      </c>
      <c r="J10" s="10">
        <v>0</v>
      </c>
      <c r="K10" s="8"/>
      <c r="L10" s="9">
        <v>7880863.0303030293</v>
      </c>
    </row>
    <row r="11" spans="1:12" ht="75.650000000000006" customHeight="1" x14ac:dyDescent="0.35">
      <c r="A11" s="4" t="s">
        <v>21</v>
      </c>
      <c r="B11" s="4" t="s">
        <v>81</v>
      </c>
      <c r="C11" s="5" t="s">
        <v>84</v>
      </c>
      <c r="D11" s="6" t="s">
        <v>85</v>
      </c>
      <c r="E11" s="7">
        <v>1564.1818181818185</v>
      </c>
      <c r="F11" s="9">
        <v>8875420.8848484866</v>
      </c>
      <c r="G11" s="10">
        <v>1540000</v>
      </c>
      <c r="H11" s="10">
        <v>467983.33333333337</v>
      </c>
      <c r="I11" s="10">
        <v>0</v>
      </c>
      <c r="J11" s="10">
        <v>0</v>
      </c>
      <c r="K11" s="8"/>
      <c r="L11" s="9">
        <v>10883404.218181821</v>
      </c>
    </row>
    <row r="12" spans="1:12" ht="189" x14ac:dyDescent="0.35">
      <c r="A12" s="4" t="s">
        <v>22</v>
      </c>
      <c r="B12" s="4" t="s">
        <v>81</v>
      </c>
      <c r="C12" s="5" t="s">
        <v>86</v>
      </c>
      <c r="D12" s="6" t="s">
        <v>87</v>
      </c>
      <c r="E12" s="7">
        <v>6839.9999999999991</v>
      </c>
      <c r="F12" s="9">
        <v>21538834.285714287</v>
      </c>
      <c r="G12" s="10">
        <v>0</v>
      </c>
      <c r="H12" s="10">
        <v>9830983.5</v>
      </c>
      <c r="I12" s="10">
        <v>1509300</v>
      </c>
      <c r="J12" s="10">
        <v>0</v>
      </c>
      <c r="K12" s="8"/>
      <c r="L12" s="9">
        <v>32879117.785714287</v>
      </c>
    </row>
    <row r="13" spans="1:12" ht="262.5" x14ac:dyDescent="0.35">
      <c r="A13" s="4" t="s">
        <v>23</v>
      </c>
      <c r="B13" s="4" t="s">
        <v>88</v>
      </c>
      <c r="C13" s="5" t="s">
        <v>89</v>
      </c>
      <c r="D13" s="6" t="s">
        <v>90</v>
      </c>
      <c r="E13" s="7">
        <v>15298.181818181816</v>
      </c>
      <c r="F13" s="9">
        <v>56021431.87878789</v>
      </c>
      <c r="G13" s="10">
        <v>6926107.5</v>
      </c>
      <c r="H13" s="10">
        <v>12666010.5</v>
      </c>
      <c r="I13" s="10">
        <v>9507836</v>
      </c>
      <c r="J13" s="10">
        <v>0</v>
      </c>
      <c r="K13" s="8"/>
      <c r="L13" s="13">
        <v>85121385.87878789</v>
      </c>
    </row>
    <row r="14" spans="1:12" ht="210" x14ac:dyDescent="0.35">
      <c r="A14" s="4" t="s">
        <v>24</v>
      </c>
      <c r="B14" s="4" t="s">
        <v>88</v>
      </c>
      <c r="C14" s="5" t="s">
        <v>91</v>
      </c>
      <c r="D14" s="6" t="s">
        <v>92</v>
      </c>
      <c r="E14" s="7">
        <v>2256.0000000000009</v>
      </c>
      <c r="F14" s="9">
        <v>8193340.8000000026</v>
      </c>
      <c r="G14" s="10">
        <v>0</v>
      </c>
      <c r="H14" s="10">
        <v>0</v>
      </c>
      <c r="I14" s="10">
        <v>0</v>
      </c>
      <c r="J14" s="10">
        <v>0</v>
      </c>
      <c r="K14" s="8"/>
      <c r="L14" s="9">
        <v>8193340.8000000026</v>
      </c>
    </row>
    <row r="15" spans="1:12" ht="273" x14ac:dyDescent="0.35">
      <c r="A15" s="4" t="s">
        <v>25</v>
      </c>
      <c r="B15" s="4" t="s">
        <v>93</v>
      </c>
      <c r="C15" s="5" t="s">
        <v>94</v>
      </c>
      <c r="D15" s="6" t="s">
        <v>95</v>
      </c>
      <c r="E15" s="7">
        <v>6449.9809523809536</v>
      </c>
      <c r="F15" s="9">
        <v>25270732.19047619</v>
      </c>
      <c r="G15" s="10">
        <v>0</v>
      </c>
      <c r="H15" s="10">
        <v>0</v>
      </c>
      <c r="I15" s="10">
        <v>0</v>
      </c>
      <c r="J15" s="10">
        <v>0</v>
      </c>
      <c r="K15" s="8"/>
      <c r="L15" s="9">
        <v>25270732.19047619</v>
      </c>
    </row>
    <row r="16" spans="1:12" ht="283.5" x14ac:dyDescent="0.35">
      <c r="A16" s="4" t="s">
        <v>26</v>
      </c>
      <c r="B16" s="4" t="s">
        <v>93</v>
      </c>
      <c r="C16" s="5" t="s">
        <v>96</v>
      </c>
      <c r="D16" s="6" t="s">
        <v>97</v>
      </c>
      <c r="E16" s="7">
        <v>457.14285714285711</v>
      </c>
      <c r="F16" s="9">
        <v>1949714.2857142859</v>
      </c>
      <c r="G16" s="10">
        <v>0</v>
      </c>
      <c r="H16" s="10">
        <v>0</v>
      </c>
      <c r="I16" s="10">
        <v>0</v>
      </c>
      <c r="J16" s="10">
        <v>0</v>
      </c>
      <c r="K16" s="8"/>
      <c r="L16" s="9">
        <v>1949714.2857142859</v>
      </c>
    </row>
    <row r="17" spans="1:12" ht="273" x14ac:dyDescent="0.35">
      <c r="A17" s="4" t="s">
        <v>27</v>
      </c>
      <c r="B17" s="4" t="s">
        <v>98</v>
      </c>
      <c r="C17" s="5" t="s">
        <v>99</v>
      </c>
      <c r="D17" s="6" t="s">
        <v>100</v>
      </c>
      <c r="E17" s="7">
        <v>6043.4242424242429</v>
      </c>
      <c r="F17" s="9">
        <v>35847543.096969694</v>
      </c>
      <c r="G17" s="10">
        <v>0</v>
      </c>
      <c r="H17" s="10">
        <v>0</v>
      </c>
      <c r="I17" s="10">
        <v>175000000</v>
      </c>
      <c r="J17" s="10">
        <v>0</v>
      </c>
      <c r="K17" s="8"/>
      <c r="L17" s="13">
        <v>210847543.09696969</v>
      </c>
    </row>
    <row r="18" spans="1:12" ht="220.5" x14ac:dyDescent="0.35">
      <c r="A18" s="4" t="s">
        <v>28</v>
      </c>
      <c r="B18" s="4" t="s">
        <v>98</v>
      </c>
      <c r="C18" s="5" t="s">
        <v>101</v>
      </c>
      <c r="D18" s="6" t="s">
        <v>102</v>
      </c>
      <c r="E18" s="7">
        <v>4079.090909090909</v>
      </c>
      <c r="F18" s="9">
        <v>24249651.575757574</v>
      </c>
      <c r="G18" s="10">
        <v>0</v>
      </c>
      <c r="H18" s="10">
        <v>0</v>
      </c>
      <c r="I18" s="10">
        <v>0</v>
      </c>
      <c r="J18" s="10">
        <v>0</v>
      </c>
      <c r="K18" s="8"/>
      <c r="L18" s="9">
        <v>24249651.575757574</v>
      </c>
    </row>
    <row r="19" spans="1:12" ht="336" x14ac:dyDescent="0.35">
      <c r="A19" s="4" t="s">
        <v>29</v>
      </c>
      <c r="B19" s="4" t="s">
        <v>98</v>
      </c>
      <c r="C19" s="5" t="s">
        <v>103</v>
      </c>
      <c r="D19" s="6" t="s">
        <v>104</v>
      </c>
      <c r="E19" s="7">
        <v>4049.9999999999995</v>
      </c>
      <c r="F19" s="9">
        <v>16090457.142857146</v>
      </c>
      <c r="G19" s="10">
        <v>0</v>
      </c>
      <c r="H19" s="10">
        <v>207000</v>
      </c>
      <c r="I19" s="10">
        <v>0</v>
      </c>
      <c r="J19" s="10">
        <v>0</v>
      </c>
      <c r="K19" s="8"/>
      <c r="L19" s="9">
        <v>16297457.142857146</v>
      </c>
    </row>
    <row r="20" spans="1:12" ht="273" x14ac:dyDescent="0.35">
      <c r="A20" s="4" t="s">
        <v>30</v>
      </c>
      <c r="B20" s="4" t="s">
        <v>98</v>
      </c>
      <c r="C20" s="5" t="s">
        <v>105</v>
      </c>
      <c r="D20" s="6" t="s">
        <v>106</v>
      </c>
      <c r="E20" s="7">
        <v>2222.2222222222226</v>
      </c>
      <c r="F20" s="9">
        <v>7095777.7777777789</v>
      </c>
      <c r="G20" s="10">
        <v>0</v>
      </c>
      <c r="H20" s="10">
        <v>0</v>
      </c>
      <c r="I20" s="10">
        <v>0</v>
      </c>
      <c r="J20" s="10">
        <v>0</v>
      </c>
      <c r="K20" s="8"/>
      <c r="L20" s="9">
        <v>7095777.7777777789</v>
      </c>
    </row>
    <row r="21" spans="1:12" ht="199.5" x14ac:dyDescent="0.35">
      <c r="A21" s="4" t="s">
        <v>31</v>
      </c>
      <c r="B21" s="4" t="s">
        <v>98</v>
      </c>
      <c r="C21" s="5" t="s">
        <v>107</v>
      </c>
      <c r="D21" s="6" t="s">
        <v>108</v>
      </c>
      <c r="E21" s="7">
        <v>1818.1818181818182</v>
      </c>
      <c r="F21" s="9">
        <v>10822654.545454545</v>
      </c>
      <c r="G21" s="10">
        <v>0</v>
      </c>
      <c r="H21" s="10">
        <v>0</v>
      </c>
      <c r="I21" s="10">
        <v>0</v>
      </c>
      <c r="J21" s="10">
        <v>0</v>
      </c>
      <c r="K21" s="8"/>
      <c r="L21" s="9">
        <v>10822654.545454545</v>
      </c>
    </row>
    <row r="22" spans="1:12" ht="304.5" x14ac:dyDescent="0.35">
      <c r="A22" s="4" t="s">
        <v>32</v>
      </c>
      <c r="B22" s="4" t="s">
        <v>109</v>
      </c>
      <c r="C22" s="5" t="s">
        <v>110</v>
      </c>
      <c r="D22" s="6" t="s">
        <v>111</v>
      </c>
      <c r="E22" s="7">
        <v>14777.142857142859</v>
      </c>
      <c r="F22" s="9">
        <v>80638129.714285716</v>
      </c>
      <c r="G22" s="10">
        <v>0</v>
      </c>
      <c r="H22" s="10">
        <v>4386484.7324999999</v>
      </c>
      <c r="I22" s="10">
        <v>23445922</v>
      </c>
      <c r="J22" s="10">
        <v>0</v>
      </c>
      <c r="K22" s="8"/>
      <c r="L22" s="13">
        <v>108470536.44678572</v>
      </c>
    </row>
    <row r="23" spans="1:12" ht="315" x14ac:dyDescent="0.35">
      <c r="A23" s="4" t="s">
        <v>33</v>
      </c>
      <c r="B23" s="4" t="s">
        <v>112</v>
      </c>
      <c r="C23" s="5" t="s">
        <v>113</v>
      </c>
      <c r="D23" s="6" t="s">
        <v>114</v>
      </c>
      <c r="E23" s="7">
        <v>1367.9999999999998</v>
      </c>
      <c r="F23" s="9">
        <v>3932022.8571428573</v>
      </c>
      <c r="G23" s="10">
        <v>0</v>
      </c>
      <c r="H23" s="10">
        <v>26400</v>
      </c>
      <c r="I23" s="10">
        <v>0</v>
      </c>
      <c r="J23" s="10">
        <v>0</v>
      </c>
      <c r="K23" s="8"/>
      <c r="L23" s="9">
        <v>3958422.8571428573</v>
      </c>
    </row>
    <row r="24" spans="1:12" ht="273" x14ac:dyDescent="0.35">
      <c r="A24" s="4" t="s">
        <v>34</v>
      </c>
      <c r="B24" s="4" t="s">
        <v>115</v>
      </c>
      <c r="C24" s="5" t="s">
        <v>116</v>
      </c>
      <c r="D24" s="6" t="s">
        <v>117</v>
      </c>
      <c r="E24" s="7">
        <v>27878.787878787876</v>
      </c>
      <c r="F24" s="9">
        <v>165367515.15151516</v>
      </c>
      <c r="G24" s="10">
        <v>0</v>
      </c>
      <c r="H24" s="10">
        <v>237595599.99999997</v>
      </c>
      <c r="I24" s="10">
        <v>0</v>
      </c>
      <c r="J24" s="10">
        <v>21060000</v>
      </c>
      <c r="K24" s="8"/>
      <c r="L24" s="13">
        <v>424023115.15151513</v>
      </c>
    </row>
    <row r="25" spans="1:12" ht="231" x14ac:dyDescent="0.35">
      <c r="A25" s="4" t="s">
        <v>35</v>
      </c>
      <c r="B25" s="4" t="s">
        <v>115</v>
      </c>
      <c r="C25" s="5" t="s">
        <v>118</v>
      </c>
      <c r="D25" s="6" t="s">
        <v>119</v>
      </c>
      <c r="E25" s="7">
        <v>19870.707070707071</v>
      </c>
      <c r="F25" s="9">
        <v>118279589.01010104</v>
      </c>
      <c r="G25" s="10">
        <v>0</v>
      </c>
      <c r="H25" s="10">
        <v>0</v>
      </c>
      <c r="I25" s="10">
        <v>0</v>
      </c>
      <c r="J25" s="10">
        <v>0</v>
      </c>
      <c r="K25" s="8"/>
      <c r="L25" s="13">
        <v>118279589.01010104</v>
      </c>
    </row>
    <row r="26" spans="1:12" ht="409.5" x14ac:dyDescent="0.35">
      <c r="A26" s="4" t="s">
        <v>36</v>
      </c>
      <c r="B26" s="4" t="s">
        <v>120</v>
      </c>
      <c r="C26" s="5" t="s">
        <v>121</v>
      </c>
      <c r="D26" s="6" t="s">
        <v>122</v>
      </c>
      <c r="E26" s="7">
        <v>22991.515151515152</v>
      </c>
      <c r="F26" s="9">
        <v>136856074.27878791</v>
      </c>
      <c r="G26" s="10">
        <v>0</v>
      </c>
      <c r="H26" s="10">
        <v>5031033.333333334</v>
      </c>
      <c r="I26" s="10">
        <v>0</v>
      </c>
      <c r="J26" s="10">
        <v>0</v>
      </c>
      <c r="K26" s="8"/>
      <c r="L26" s="13">
        <v>141887107.61212125</v>
      </c>
    </row>
    <row r="27" spans="1:12" ht="273" x14ac:dyDescent="0.35">
      <c r="A27" s="4" t="s">
        <v>37</v>
      </c>
      <c r="B27" s="4" t="s">
        <v>123</v>
      </c>
      <c r="C27" s="5" t="s">
        <v>124</v>
      </c>
      <c r="D27" s="6" t="s">
        <v>125</v>
      </c>
      <c r="E27" s="7">
        <v>14664</v>
      </c>
      <c r="F27" s="9">
        <v>72685956.571428582</v>
      </c>
      <c r="G27" s="10">
        <v>0</v>
      </c>
      <c r="H27" s="10">
        <v>0</v>
      </c>
      <c r="I27" s="10">
        <v>0</v>
      </c>
      <c r="J27" s="10">
        <v>0</v>
      </c>
      <c r="K27" s="8"/>
      <c r="L27" s="13">
        <v>72685956.571428582</v>
      </c>
    </row>
    <row r="28" spans="1:12" ht="220.5" x14ac:dyDescent="0.35">
      <c r="A28" s="4" t="s">
        <v>38</v>
      </c>
      <c r="B28" s="4" t="s">
        <v>58</v>
      </c>
      <c r="C28" s="5" t="s">
        <v>126</v>
      </c>
      <c r="D28" s="6" t="s">
        <v>127</v>
      </c>
      <c r="E28" s="7">
        <v>7661.8181818181829</v>
      </c>
      <c r="F28" s="9">
        <v>24301025.212121218</v>
      </c>
      <c r="G28" s="10">
        <v>0</v>
      </c>
      <c r="H28" s="10">
        <v>0</v>
      </c>
      <c r="I28" s="10">
        <v>0</v>
      </c>
      <c r="J28" s="10">
        <v>0</v>
      </c>
      <c r="K28" s="8"/>
      <c r="L28" s="9">
        <v>24301025.212121218</v>
      </c>
    </row>
    <row r="29" spans="1:12" ht="231" x14ac:dyDescent="0.35">
      <c r="A29" s="4" t="s">
        <v>39</v>
      </c>
      <c r="B29" s="4" t="s">
        <v>128</v>
      </c>
      <c r="C29" s="5" t="s">
        <v>129</v>
      </c>
      <c r="D29" s="6" t="s">
        <v>130</v>
      </c>
      <c r="E29" s="7">
        <v>10952.380952380956</v>
      </c>
      <c r="F29" s="9">
        <v>43303809.52380953</v>
      </c>
      <c r="G29" s="10">
        <v>0</v>
      </c>
      <c r="H29" s="10">
        <v>0</v>
      </c>
      <c r="I29" s="10">
        <v>999166.66666666674</v>
      </c>
      <c r="J29" s="10">
        <v>0</v>
      </c>
      <c r="K29" s="8"/>
      <c r="L29" s="9">
        <v>44302976.190476194</v>
      </c>
    </row>
    <row r="30" spans="1:12" ht="273" x14ac:dyDescent="0.35">
      <c r="A30" s="4" t="s">
        <v>40</v>
      </c>
      <c r="B30" s="4" t="s">
        <v>128</v>
      </c>
      <c r="C30" s="5" t="s">
        <v>131</v>
      </c>
      <c r="D30" s="6" t="s">
        <v>132</v>
      </c>
      <c r="E30" s="7">
        <v>8616.363636363636</v>
      </c>
      <c r="F30" s="9">
        <v>42774583.272727273</v>
      </c>
      <c r="G30" s="10">
        <v>0</v>
      </c>
      <c r="H30" s="10">
        <v>0</v>
      </c>
      <c r="I30" s="10">
        <v>0</v>
      </c>
      <c r="J30" s="10">
        <v>0</v>
      </c>
      <c r="K30" s="8"/>
      <c r="L30" s="9">
        <v>42774583.272727273</v>
      </c>
    </row>
    <row r="31" spans="1:12" ht="409.5" x14ac:dyDescent="0.35">
      <c r="A31" s="4" t="s">
        <v>41</v>
      </c>
      <c r="B31" s="4" t="s">
        <v>128</v>
      </c>
      <c r="C31" s="5" t="s">
        <v>133</v>
      </c>
      <c r="D31" s="6" t="s">
        <v>134</v>
      </c>
      <c r="E31" s="7">
        <v>2121.212121212121</v>
      </c>
      <c r="F31" s="9">
        <v>8475006.0606060624</v>
      </c>
      <c r="G31" s="10">
        <v>0</v>
      </c>
      <c r="H31" s="10">
        <v>0</v>
      </c>
      <c r="I31" s="10">
        <v>0</v>
      </c>
      <c r="J31" s="10">
        <v>0</v>
      </c>
      <c r="K31" s="8"/>
      <c r="L31" s="9">
        <v>8475006.0606060624</v>
      </c>
    </row>
    <row r="32" spans="1:12" ht="241.5" x14ac:dyDescent="0.35">
      <c r="A32" s="4" t="s">
        <v>42</v>
      </c>
      <c r="B32" s="4" t="s">
        <v>135</v>
      </c>
      <c r="C32" s="5" t="s">
        <v>136</v>
      </c>
      <c r="D32" s="6" t="s">
        <v>137</v>
      </c>
      <c r="E32" s="7">
        <v>525.71428571428567</v>
      </c>
      <c r="F32" s="9">
        <v>1503411.4285714291</v>
      </c>
      <c r="G32" s="10">
        <v>900000</v>
      </c>
      <c r="H32" s="10">
        <v>2500000</v>
      </c>
      <c r="I32" s="10">
        <v>0</v>
      </c>
      <c r="J32" s="10">
        <v>0</v>
      </c>
      <c r="K32" s="8"/>
      <c r="L32" s="9">
        <v>4903411.4285714291</v>
      </c>
    </row>
    <row r="33" spans="1:12" ht="252" x14ac:dyDescent="0.35">
      <c r="A33" s="4" t="s">
        <v>43</v>
      </c>
      <c r="B33" s="4" t="s">
        <v>138</v>
      </c>
      <c r="C33" s="5" t="s">
        <v>139</v>
      </c>
      <c r="D33" s="6" t="s">
        <v>140</v>
      </c>
      <c r="E33" s="7">
        <v>1909.0909090909092</v>
      </c>
      <c r="F33" s="9">
        <v>8073450</v>
      </c>
      <c r="G33" s="10">
        <v>0</v>
      </c>
      <c r="H33" s="10">
        <v>0</v>
      </c>
      <c r="I33" s="10">
        <v>26325000</v>
      </c>
      <c r="J33" s="10">
        <v>0</v>
      </c>
      <c r="K33" s="8"/>
      <c r="L33" s="9">
        <v>34398450</v>
      </c>
    </row>
    <row r="34" spans="1:12" ht="241.5" x14ac:dyDescent="0.35">
      <c r="A34" s="4" t="s">
        <v>44</v>
      </c>
      <c r="B34" s="4" t="s">
        <v>135</v>
      </c>
      <c r="C34" s="5" t="s">
        <v>141</v>
      </c>
      <c r="D34" s="6" t="s">
        <v>142</v>
      </c>
      <c r="E34" s="7">
        <v>16177.333333333334</v>
      </c>
      <c r="F34" s="9">
        <v>47512828</v>
      </c>
      <c r="G34" s="10">
        <v>0</v>
      </c>
      <c r="H34" s="10">
        <v>2778148.4</v>
      </c>
      <c r="I34" s="10">
        <v>0</v>
      </c>
      <c r="J34" s="10">
        <v>0</v>
      </c>
      <c r="K34" s="8"/>
      <c r="L34" s="9">
        <v>50290976.399999999</v>
      </c>
    </row>
    <row r="35" spans="1:12" ht="252" x14ac:dyDescent="0.35">
      <c r="A35" s="4" t="s">
        <v>45</v>
      </c>
      <c r="B35" s="4" t="s">
        <v>135</v>
      </c>
      <c r="C35" s="5" t="s">
        <v>143</v>
      </c>
      <c r="D35" s="6" t="s">
        <v>144</v>
      </c>
      <c r="E35" s="7">
        <v>1481.4814814814815</v>
      </c>
      <c r="F35" s="9">
        <v>4351111.1111111119</v>
      </c>
      <c r="G35" s="10">
        <v>0</v>
      </c>
      <c r="H35" s="10">
        <v>0</v>
      </c>
      <c r="I35" s="10">
        <v>0</v>
      </c>
      <c r="J35" s="10">
        <v>0</v>
      </c>
      <c r="K35" s="8"/>
      <c r="L35" s="9">
        <v>4351111.1111111119</v>
      </c>
    </row>
    <row r="36" spans="1:12" ht="336" x14ac:dyDescent="0.35">
      <c r="A36" s="4" t="s">
        <v>46</v>
      </c>
      <c r="B36" s="4" t="s">
        <v>135</v>
      </c>
      <c r="C36" s="5" t="s">
        <v>145</v>
      </c>
      <c r="D36" s="6" t="s">
        <v>146</v>
      </c>
      <c r="E36" s="7">
        <v>9110.181818181818</v>
      </c>
      <c r="F36" s="9">
        <v>26428637.454545453</v>
      </c>
      <c r="G36" s="10">
        <v>1456540</v>
      </c>
      <c r="H36" s="10">
        <v>9510000</v>
      </c>
      <c r="I36" s="10">
        <v>0</v>
      </c>
      <c r="J36" s="10">
        <v>0</v>
      </c>
      <c r="K36" s="8"/>
      <c r="L36" s="9">
        <v>37395177.454545453</v>
      </c>
    </row>
    <row r="37" spans="1:12" ht="262.5" x14ac:dyDescent="0.35">
      <c r="A37" s="4" t="s">
        <v>47</v>
      </c>
      <c r="B37" s="4" t="s">
        <v>135</v>
      </c>
      <c r="C37" s="5" t="s">
        <v>147</v>
      </c>
      <c r="D37" s="6" t="s">
        <v>148</v>
      </c>
      <c r="E37" s="7">
        <v>3901.8181818181811</v>
      </c>
      <c r="F37" s="9">
        <v>12348044.981818181</v>
      </c>
      <c r="G37" s="10">
        <v>94770</v>
      </c>
      <c r="H37" s="10">
        <v>0</v>
      </c>
      <c r="I37" s="10">
        <v>26325000</v>
      </c>
      <c r="J37" s="10">
        <v>0</v>
      </c>
      <c r="K37" s="8"/>
      <c r="L37" s="9">
        <v>38767814.981818184</v>
      </c>
    </row>
    <row r="38" spans="1:12" ht="199.5" x14ac:dyDescent="0.35">
      <c r="A38" s="4" t="s">
        <v>48</v>
      </c>
      <c r="B38" s="4" t="s">
        <v>135</v>
      </c>
      <c r="C38" s="5" t="s">
        <v>149</v>
      </c>
      <c r="D38" s="6" t="s">
        <v>150</v>
      </c>
      <c r="E38" s="7">
        <v>860.36363636363649</v>
      </c>
      <c r="F38" s="9">
        <v>2728819.4424242429</v>
      </c>
      <c r="G38" s="10">
        <v>0</v>
      </c>
      <c r="H38" s="10">
        <v>400000</v>
      </c>
      <c r="I38" s="10">
        <v>0</v>
      </c>
      <c r="J38" s="10">
        <v>0</v>
      </c>
      <c r="K38" s="8"/>
      <c r="L38" s="9">
        <v>3128819.4424242429</v>
      </c>
    </row>
    <row r="39" spans="1:12" ht="388.5" x14ac:dyDescent="0.35">
      <c r="A39" s="4" t="s">
        <v>49</v>
      </c>
      <c r="B39" s="4" t="s">
        <v>135</v>
      </c>
      <c r="C39" s="5" t="s">
        <v>151</v>
      </c>
      <c r="D39" s="6" t="s">
        <v>152</v>
      </c>
      <c r="E39" s="7">
        <v>6109.090909090909</v>
      </c>
      <c r="F39" s="9">
        <v>22527519.999999996</v>
      </c>
      <c r="G39" s="10">
        <v>0</v>
      </c>
      <c r="H39" s="10">
        <v>84672000</v>
      </c>
      <c r="I39" s="10">
        <v>69497999.999999985</v>
      </c>
      <c r="J39" s="10">
        <v>246401999.99999997</v>
      </c>
      <c r="K39" s="8"/>
      <c r="L39" s="13">
        <v>423099520</v>
      </c>
    </row>
    <row r="40" spans="1:12" ht="325.5" x14ac:dyDescent="0.35">
      <c r="A40" s="4" t="s">
        <v>50</v>
      </c>
      <c r="B40" s="4" t="s">
        <v>109</v>
      </c>
      <c r="C40" s="5" t="s">
        <v>153</v>
      </c>
      <c r="D40" s="6" t="s">
        <v>154</v>
      </c>
      <c r="E40" s="7">
        <v>3493.454545454545</v>
      </c>
      <c r="F40" s="9">
        <v>11539351.979999999</v>
      </c>
      <c r="G40" s="10">
        <v>0</v>
      </c>
      <c r="H40" s="10">
        <v>0</v>
      </c>
      <c r="I40" s="10">
        <v>0</v>
      </c>
      <c r="J40" s="10">
        <v>0</v>
      </c>
      <c r="K40" s="8"/>
      <c r="L40" s="9">
        <v>11539351.979999999</v>
      </c>
    </row>
    <row r="41" spans="1:12" ht="210" x14ac:dyDescent="0.35">
      <c r="A41" s="4" t="s">
        <v>51</v>
      </c>
      <c r="B41" s="4" t="s">
        <v>135</v>
      </c>
      <c r="C41" s="5" t="s">
        <v>155</v>
      </c>
      <c r="D41" s="6" t="s">
        <v>156</v>
      </c>
      <c r="E41" s="7">
        <v>200</v>
      </c>
      <c r="F41" s="9">
        <v>633000</v>
      </c>
      <c r="G41" s="10">
        <v>0</v>
      </c>
      <c r="H41" s="10">
        <v>0</v>
      </c>
      <c r="I41" s="10">
        <v>0</v>
      </c>
      <c r="J41" s="10">
        <v>0</v>
      </c>
      <c r="K41" s="8"/>
      <c r="L41" s="9">
        <v>633000</v>
      </c>
    </row>
    <row r="42" spans="1:12" ht="252" x14ac:dyDescent="0.35">
      <c r="A42" s="4" t="s">
        <v>52</v>
      </c>
      <c r="B42" s="4" t="s">
        <v>135</v>
      </c>
      <c r="C42" s="5" t="s">
        <v>157</v>
      </c>
      <c r="D42" s="6" t="s">
        <v>158</v>
      </c>
      <c r="E42" s="7">
        <v>11627.636363636366</v>
      </c>
      <c r="F42" s="9">
        <v>36879429.624242418</v>
      </c>
      <c r="G42" s="10">
        <v>0</v>
      </c>
      <c r="H42" s="10">
        <v>57606400</v>
      </c>
      <c r="I42" s="10">
        <v>0</v>
      </c>
      <c r="J42" s="10">
        <v>182720000</v>
      </c>
      <c r="K42" s="8"/>
      <c r="L42" s="13">
        <v>277205829.62424242</v>
      </c>
    </row>
    <row r="43" spans="1:12" ht="273" x14ac:dyDescent="0.35">
      <c r="A43" s="4" t="s">
        <v>53</v>
      </c>
      <c r="B43" s="4" t="s">
        <v>58</v>
      </c>
      <c r="C43" s="5" t="s">
        <v>159</v>
      </c>
      <c r="D43" s="6" t="s">
        <v>160</v>
      </c>
      <c r="E43" s="7">
        <v>3888.0000000000005</v>
      </c>
      <c r="F43" s="9">
        <v>12243126.857142858</v>
      </c>
      <c r="G43" s="10">
        <v>0</v>
      </c>
      <c r="H43" s="10">
        <v>0</v>
      </c>
      <c r="I43" s="10">
        <v>0</v>
      </c>
      <c r="J43" s="10">
        <v>0</v>
      </c>
      <c r="K43" s="8"/>
      <c r="L43" s="9">
        <v>12243126.857142858</v>
      </c>
    </row>
    <row r="44" spans="1:12" ht="315" x14ac:dyDescent="0.35">
      <c r="A44" s="4" t="s">
        <v>54</v>
      </c>
      <c r="B44" s="4" t="s">
        <v>98</v>
      </c>
      <c r="C44" s="5" t="s">
        <v>161</v>
      </c>
      <c r="D44" s="6" t="s">
        <v>162</v>
      </c>
      <c r="E44" s="7">
        <v>7477.272727272727</v>
      </c>
      <c r="F44" s="9">
        <v>21691568.18181818</v>
      </c>
      <c r="G44" s="10">
        <v>0</v>
      </c>
      <c r="H44" s="10">
        <v>0</v>
      </c>
      <c r="I44" s="10">
        <v>0</v>
      </c>
      <c r="J44" s="10">
        <v>0</v>
      </c>
      <c r="K44" s="8"/>
      <c r="L44" s="9">
        <v>21691568.18181818</v>
      </c>
    </row>
    <row r="45" spans="1:12" ht="178.5" x14ac:dyDescent="0.35">
      <c r="A45" s="4" t="s">
        <v>55</v>
      </c>
      <c r="B45" s="4" t="s">
        <v>128</v>
      </c>
      <c r="C45" s="5" t="s">
        <v>163</v>
      </c>
      <c r="D45" s="6" t="s">
        <v>164</v>
      </c>
      <c r="E45" s="7">
        <v>571.42857142857144</v>
      </c>
      <c r="F45" s="9">
        <v>1955342.8571428575</v>
      </c>
      <c r="G45" s="10">
        <v>0</v>
      </c>
      <c r="H45" s="10">
        <v>0</v>
      </c>
      <c r="I45" s="10">
        <v>0</v>
      </c>
      <c r="J45" s="10">
        <v>0</v>
      </c>
      <c r="K45" s="8"/>
      <c r="L45" s="9">
        <v>1955342.8571428575</v>
      </c>
    </row>
    <row r="46" spans="1:12" ht="210" x14ac:dyDescent="0.35">
      <c r="A46" s="4" t="s">
        <v>56</v>
      </c>
      <c r="B46" s="4" t="s">
        <v>165</v>
      </c>
      <c r="C46" s="5" t="s">
        <v>166</v>
      </c>
      <c r="D46" s="6" t="s">
        <v>167</v>
      </c>
      <c r="E46" s="7">
        <v>8347.0596738816766</v>
      </c>
      <c r="F46" s="9">
        <v>43571651.497662351</v>
      </c>
      <c r="G46" s="10">
        <v>0</v>
      </c>
      <c r="H46" s="10">
        <v>0</v>
      </c>
      <c r="I46" s="10">
        <v>0</v>
      </c>
      <c r="J46" s="10">
        <v>0</v>
      </c>
      <c r="K46" s="8"/>
      <c r="L46" s="9">
        <v>43571651.497662351</v>
      </c>
    </row>
    <row r="47" spans="1:12" ht="168" x14ac:dyDescent="0.35">
      <c r="A47" s="4" t="s">
        <v>57</v>
      </c>
      <c r="B47" s="4" t="s">
        <v>165</v>
      </c>
      <c r="C47" s="5" t="s">
        <v>168</v>
      </c>
      <c r="D47" s="6" t="s">
        <v>169</v>
      </c>
      <c r="E47" s="7">
        <v>8347.0596738816766</v>
      </c>
      <c r="F47" s="9">
        <v>24540355.441212129</v>
      </c>
      <c r="G47" s="10">
        <v>0</v>
      </c>
      <c r="H47" s="10">
        <v>0</v>
      </c>
      <c r="I47" s="10">
        <v>0</v>
      </c>
      <c r="J47" s="10">
        <v>0</v>
      </c>
      <c r="K47" s="8"/>
      <c r="L47" s="9">
        <v>24540355.441212129</v>
      </c>
    </row>
    <row r="48" spans="1:12" x14ac:dyDescent="0.35">
      <c r="L48" s="16">
        <f>SUM(L2:L47)</f>
        <v>2598121839.6464257</v>
      </c>
    </row>
  </sheetData>
  <autoFilter ref="A1:L47" xr:uid="{0BD63DEF-DDD3-40D0-8386-652B675172C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B018-38B8-49F4-A167-3AEE4D7B321E}">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Tous chantiers</vt:lpstr>
      <vt:lpstr>Feuil1</vt:lpstr>
    </vt:vector>
  </TitlesOfParts>
  <Company>Eurafric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Larbi HMIMOU</dc:creator>
  <cp:lastModifiedBy>Larbi HMIMOU</cp:lastModifiedBy>
  <dcterms:created xsi:type="dcterms:W3CDTF">2026-03-16T14:40:14Z</dcterms:created>
  <dcterms:modified xsi:type="dcterms:W3CDTF">2026-03-16T14:43:29Z</dcterms:modified>
</cp:coreProperties>
</file>