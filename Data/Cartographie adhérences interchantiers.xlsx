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mimoula\Downloads\Adhérence interchantiers\"/>
    </mc:Choice>
  </mc:AlternateContent>
  <xr:revisionPtr revIDLastSave="0" documentId="8_{7CC5E6F5-3712-4850-AB78-3AAD21BC02D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gistre_Adherences" sheetId="1" r:id="rId1"/>
    <sheet name="Matrice_Croisee" sheetId="2" r:id="rId2"/>
    <sheet name="Statistiques" sheetId="3" r:id="rId3"/>
    <sheet name="Chantiers_Sources" sheetId="4" r:id="rId4"/>
  </sheets>
  <definedNames>
    <definedName name="_xlnm._FilterDatabase" localSheetId="0" hidden="1">Registre_Adherences!$A$1:$O$38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C8" i="3"/>
  <c r="C7" i="3"/>
  <c r="C6" i="3"/>
  <c r="C5" i="3"/>
</calcChain>
</file>

<file path=xl/sharedStrings.xml><?xml version="1.0" encoding="utf-8"?>
<sst xmlns="http://schemas.openxmlformats.org/spreadsheetml/2006/main" count="678" uniqueCount="301">
  <si>
    <t>ID_Adhérence</t>
  </si>
  <si>
    <t>Chantier_Source</t>
  </si>
  <si>
    <t>ID_Source</t>
  </si>
  <si>
    <t>Chantier_Dépendant</t>
  </si>
  <si>
    <t>ID_Dépendant</t>
  </si>
  <si>
    <t>Type_Adhérence</t>
  </si>
  <si>
    <t>Domaine</t>
  </si>
  <si>
    <t>Description</t>
  </si>
  <si>
    <t>Criticité</t>
  </si>
  <si>
    <t>Statut</t>
  </si>
  <si>
    <t>Date_Identification</t>
  </si>
  <si>
    <t>Date_Résolution_Prévue</t>
  </si>
  <si>
    <t>Responsable</t>
  </si>
  <si>
    <t>Contrat_Interface</t>
  </si>
  <si>
    <t>Commentaires</t>
  </si>
  <si>
    <t>ADH-001</t>
  </si>
  <si>
    <t>Infrastructure IT Résiliente</t>
  </si>
  <si>
    <t>CH_041</t>
  </si>
  <si>
    <t>Core Banking System</t>
  </si>
  <si>
    <t>CH_023</t>
  </si>
  <si>
    <t>Technique</t>
  </si>
  <si>
    <t>Infrastructure</t>
  </si>
  <si>
    <t>Environnements serveurs et stockage requis pour CBS</t>
  </si>
  <si>
    <t>BLOQUANTE</t>
  </si>
  <si>
    <t>En cours</t>
  </si>
  <si>
    <t>2026-01-15</t>
  </si>
  <si>
    <t>2026-06-30</t>
  </si>
  <si>
    <t>Lead Infra</t>
  </si>
  <si>
    <t>CI-041-023</t>
  </si>
  <si>
    <t>Lot 1 prioritaire</t>
  </si>
  <si>
    <t>ADH-002</t>
  </si>
  <si>
    <t>Plateforme CRM unifiée</t>
  </si>
  <si>
    <t>CH_016</t>
  </si>
  <si>
    <t>Environnements cloud pour Salesforce</t>
  </si>
  <si>
    <t>2026-03-31</t>
  </si>
  <si>
    <t>CI-041-016</t>
  </si>
  <si>
    <t>ADH-003</t>
  </si>
  <si>
    <t>Hub de Paiement ISO 20022</t>
  </si>
  <si>
    <t>CH_025</t>
  </si>
  <si>
    <t>Infrastructure haute disponibilité paiements</t>
  </si>
  <si>
    <t>Planifié</t>
  </si>
  <si>
    <t>2026-05-31</t>
  </si>
  <si>
    <t>CI-041-025</t>
  </si>
  <si>
    <t>ADH-004</t>
  </si>
  <si>
    <t>Cybersécurité renforcée</t>
  </si>
  <si>
    <t>CH_038</t>
  </si>
  <si>
    <t>Sécurité</t>
  </si>
  <si>
    <t>IAM/SSO pour authentification CBS</t>
  </si>
  <si>
    <t>2026-08-31</t>
  </si>
  <si>
    <t>Lead RSSI</t>
  </si>
  <si>
    <t>CI-038-023</t>
  </si>
  <si>
    <t>Lot IAM/IGA</t>
  </si>
  <si>
    <t>ADH-005</t>
  </si>
  <si>
    <t>SSO et MFA pour accès CRM</t>
  </si>
  <si>
    <t>2026-07-31</t>
  </si>
  <si>
    <t>CI-038-016</t>
  </si>
  <si>
    <t>ADH-006</t>
  </si>
  <si>
    <t>Refonte eBanking BMCE Direct</t>
  </si>
  <si>
    <t>CH_043</t>
  </si>
  <si>
    <t>Authentification forte clients digitaux</t>
  </si>
  <si>
    <t>CI-038-043</t>
  </si>
  <si>
    <t>ADH-007</t>
  </si>
  <si>
    <t>API Management</t>
  </si>
  <si>
    <t>CH_032</t>
  </si>
  <si>
    <t>Intégration</t>
  </si>
  <si>
    <t>Gateway API pour exposition services CBS</t>
  </si>
  <si>
    <t>2026-09-30</t>
  </si>
  <si>
    <t>Lead Archi</t>
  </si>
  <si>
    <t>CI-032-023</t>
  </si>
  <si>
    <t>ADH-008</t>
  </si>
  <si>
    <t>APIs client 360 pour CRM</t>
  </si>
  <si>
    <t>CI-032-016</t>
  </si>
  <si>
    <t>ADH-009</t>
  </si>
  <si>
    <t>APIs paiement temps réel</t>
  </si>
  <si>
    <t>CI-032-025</t>
  </si>
  <si>
    <t>ADH-010</t>
  </si>
  <si>
    <t>APIs services bancaires pour eBanking</t>
  </si>
  <si>
    <t>CI-032-043</t>
  </si>
  <si>
    <t>ADH-011</t>
  </si>
  <si>
    <t>Référentiels Client/Tiers/Produit</t>
  </si>
  <si>
    <t>CH_014</t>
  </si>
  <si>
    <t>Fonctionnelle</t>
  </si>
  <si>
    <t>Données</t>
  </si>
  <si>
    <t>Golden Record Client pour vue 360°</t>
  </si>
  <si>
    <t>FORTE</t>
  </si>
  <si>
    <t>2026-02-01</t>
  </si>
  <si>
    <t>2026-10-31</t>
  </si>
  <si>
    <t>Resp. Réf.</t>
  </si>
  <si>
    <t>CI-014-016</t>
  </si>
  <si>
    <t>ADH-012</t>
  </si>
  <si>
    <t>Référentiel Produits pour CBS</t>
  </si>
  <si>
    <t>2026-12-31</t>
  </si>
  <si>
    <t>CI-014-023</t>
  </si>
  <si>
    <t>ADH-013</t>
  </si>
  <si>
    <t>Référentiel Tiers pour paiements</t>
  </si>
  <si>
    <t>2027-06-30</t>
  </si>
  <si>
    <t>CI-014-025</t>
  </si>
  <si>
    <t>ADH-014</t>
  </si>
  <si>
    <t>Reporting Métier/Réglementaire</t>
  </si>
  <si>
    <t>CH_027</t>
  </si>
  <si>
    <t>Données référentielles pour reporting</t>
  </si>
  <si>
    <t>2027-03-31</t>
  </si>
  <si>
    <t>CI-014-027</t>
  </si>
  <si>
    <t>ADH-015</t>
  </si>
  <si>
    <t>DataLake centralisé</t>
  </si>
  <si>
    <t>CH_001</t>
  </si>
  <si>
    <t>Données analytiques pour reporting</t>
  </si>
  <si>
    <t>Lead Data</t>
  </si>
  <si>
    <t>CI-001-027</t>
  </si>
  <si>
    <t>ADH-016</t>
  </si>
  <si>
    <t>Portail Contrôle Interne</t>
  </si>
  <si>
    <t>CH_008</t>
  </si>
  <si>
    <t>Données de contrôle et audit</t>
  </si>
  <si>
    <t>CI-001-008</t>
  </si>
  <si>
    <t>ADH-017</t>
  </si>
  <si>
    <t>Plateforme GRC</t>
  </si>
  <si>
    <t>CH_010</t>
  </si>
  <si>
    <t>Données risques et conformité</t>
  </si>
  <si>
    <t>CI-001-010</t>
  </si>
  <si>
    <t>ADH-018</t>
  </si>
  <si>
    <t>Métier</t>
  </si>
  <si>
    <t>APIs comptes pour initiation paiements</t>
  </si>
  <si>
    <t>2026-04-01</t>
  </si>
  <si>
    <t>2027-12-31</t>
  </si>
  <si>
    <t>Dir. CBS</t>
  </si>
  <si>
    <t>CI-023-025</t>
  </si>
  <si>
    <t>ADH-019</t>
  </si>
  <si>
    <t>Services bancaires pour canaux digitaux</t>
  </si>
  <si>
    <t>2028-03-31</t>
  </si>
  <si>
    <t>CI-023-043</t>
  </si>
  <si>
    <t>ADH-020</t>
  </si>
  <si>
    <t>Référentiel tarifaire</t>
  </si>
  <si>
    <t>CH_015</t>
  </si>
  <si>
    <t>Intégration tarification produits CBS</t>
  </si>
  <si>
    <t>CI-023-015</t>
  </si>
  <si>
    <t>ADH-021</t>
  </si>
  <si>
    <t>Données comptables et subledger</t>
  </si>
  <si>
    <t>2027-09-30</t>
  </si>
  <si>
    <t>CI-023-027</t>
  </si>
  <si>
    <t>ADH-022</t>
  </si>
  <si>
    <t>Vision client partagée omnicanal</t>
  </si>
  <si>
    <t>MODÉRÉE</t>
  </si>
  <si>
    <t>2028-06-30</t>
  </si>
  <si>
    <t>Dir. CRM</t>
  </si>
  <si>
    <t>CI-016-043</t>
  </si>
  <si>
    <t>ADH-023</t>
  </si>
  <si>
    <t>Plateforme Documentaire</t>
  </si>
  <si>
    <t>CH_028</t>
  </si>
  <si>
    <t>GED intégrée au CRM</t>
  </si>
  <si>
    <t>CI-016-028</t>
  </si>
  <si>
    <t>ADH-024</t>
  </si>
  <si>
    <t>Documents liés aux opérations CBS</t>
  </si>
  <si>
    <t>Dir. GED</t>
  </si>
  <si>
    <t>CI-028-023</t>
  </si>
  <si>
    <t>ADH-025</t>
  </si>
  <si>
    <t>Signature électronique eBanking</t>
  </si>
  <si>
    <t>CI-028-043</t>
  </si>
  <si>
    <t>ADH-026</t>
  </si>
  <si>
    <t>Pipeline DevSecOps</t>
  </si>
  <si>
    <t>CH_035</t>
  </si>
  <si>
    <t>Tous chantiers applicatifs</t>
  </si>
  <si>
    <t>ALL</t>
  </si>
  <si>
    <t>Outillage</t>
  </si>
  <si>
    <t>CI/CD pour déploiements</t>
  </si>
  <si>
    <t>2026-03-01</t>
  </si>
  <si>
    <t>Lead DevOps</t>
  </si>
  <si>
    <t>N/A</t>
  </si>
  <si>
    <t>Transverse</t>
  </si>
  <si>
    <t>ADH-027</t>
  </si>
  <si>
    <t>Plateforme ITSM</t>
  </si>
  <si>
    <t>CH_036</t>
  </si>
  <si>
    <t>Tous chantiers</t>
  </si>
  <si>
    <t>Support</t>
  </si>
  <si>
    <t>Gestion incidents et demandes</t>
  </si>
  <si>
    <t>2026-06-01</t>
  </si>
  <si>
    <t>Lead ITSM</t>
  </si>
  <si>
    <t>ADH-028</t>
  </si>
  <si>
    <t>Tarifs pour devis et simulations</t>
  </si>
  <si>
    <t>2026-07-01</t>
  </si>
  <si>
    <t>Resp. Tarif</t>
  </si>
  <si>
    <t>CI-015-016</t>
  </si>
  <si>
    <t>ADH-029</t>
  </si>
  <si>
    <t>Tarifs affichés sur canaux digitaux</t>
  </si>
  <si>
    <t>2028-09-30</t>
  </si>
  <si>
    <t>CI-015-043</t>
  </si>
  <si>
    <t>ADH-030</t>
  </si>
  <si>
    <t>ETL et traitements batch</t>
  </si>
  <si>
    <t>CH_033</t>
  </si>
  <si>
    <t>Alimentation DataLake</t>
  </si>
  <si>
    <t>2029-12-31</t>
  </si>
  <si>
    <t>Lead ETL</t>
  </si>
  <si>
    <t>CI-033-001</t>
  </si>
  <si>
    <t>ADH-031</t>
  </si>
  <si>
    <t>Traitements pour reporting</t>
  </si>
  <si>
    <t>CI-033-027</t>
  </si>
  <si>
    <t>ADH-032</t>
  </si>
  <si>
    <t>Modernisation échanges fichiers</t>
  </si>
  <si>
    <t>CH_034</t>
  </si>
  <si>
    <t>Échanges partenaires paiements</t>
  </si>
  <si>
    <t>2026-05-01</t>
  </si>
  <si>
    <t>2027-05-31</t>
  </si>
  <si>
    <t>Lead Échanges</t>
  </si>
  <si>
    <t>CI-034-025</t>
  </si>
  <si>
    <t>ADH-033</t>
  </si>
  <si>
    <t>Outils de communication</t>
  </si>
  <si>
    <t>CH_040</t>
  </si>
  <si>
    <t>Ressources</t>
  </si>
  <si>
    <t>Collaboration</t>
  </si>
  <si>
    <t>Teams/Sharepoint pour collaboration projet</t>
  </si>
  <si>
    <t>FAIBLE</t>
  </si>
  <si>
    <t>2027-10-31</t>
  </si>
  <si>
    <t>Lead Comm.</t>
  </si>
  <si>
    <t>ADH-034</t>
  </si>
  <si>
    <t>Gestion portefeuille projets</t>
  </si>
  <si>
    <t>CH_037</t>
  </si>
  <si>
    <t>Pilotage</t>
  </si>
  <si>
    <t>Outil de suivi programme</t>
  </si>
  <si>
    <t>PMO Programme</t>
  </si>
  <si>
    <t>Cockpit</t>
  </si>
  <si>
    <t>ADH-035</t>
  </si>
  <si>
    <t>Architecture d'Entreprise</t>
  </si>
  <si>
    <t>CH_030</t>
  </si>
  <si>
    <t>Architecture</t>
  </si>
  <si>
    <t>Cartographie et urbanisation</t>
  </si>
  <si>
    <t>2030-12-31</t>
  </si>
  <si>
    <t>Continu</t>
  </si>
  <si>
    <t>ADH-036</t>
  </si>
  <si>
    <t>Contrôle</t>
  </si>
  <si>
    <t>Données contrôle pour reporting</t>
  </si>
  <si>
    <t>2027-01-01</t>
  </si>
  <si>
    <t>Dir. Contrôle</t>
  </si>
  <si>
    <t>CI-008-027</t>
  </si>
  <si>
    <t>ADH-037</t>
  </si>
  <si>
    <t>Risques</t>
  </si>
  <si>
    <t>Données risques pour reporting</t>
  </si>
  <si>
    <t>2027-03-01</t>
  </si>
  <si>
    <t>Dir. GRC</t>
  </si>
  <si>
    <t>CI-010-027</t>
  </si>
  <si>
    <t>Source \ Dépendant</t>
  </si>
  <si>
    <t>CH_001
DataLake</t>
  </si>
  <si>
    <t>CH_008
Contrôle Int.</t>
  </si>
  <si>
    <t>CH_010
GRC</t>
  </si>
  <si>
    <t>CH_014
Référentiels</t>
  </si>
  <si>
    <t>CH_015
Tarifaire</t>
  </si>
  <si>
    <t>CH_016
CRM</t>
  </si>
  <si>
    <t>CH_023
CBS</t>
  </si>
  <si>
    <t>CH_025
Hub Paiement</t>
  </si>
  <si>
    <t>CH_027
Reporting</t>
  </si>
  <si>
    <t>CH_028
GED</t>
  </si>
  <si>
    <t>CH_032
API Mgmt</t>
  </si>
  <si>
    <t>CH_033
ETL</t>
  </si>
  <si>
    <t>CH_034
Échanges</t>
  </si>
  <si>
    <t>CH_035
DevSecOps</t>
  </si>
  <si>
    <t>CH_036
ITSM</t>
  </si>
  <si>
    <t>CH_037
PPM</t>
  </si>
  <si>
    <t>CH_038
Cybersécurité</t>
  </si>
  <si>
    <t>CH_040
Communication</t>
  </si>
  <si>
    <t>CH_041
Infrastructure</t>
  </si>
  <si>
    <t>CH_043
eBanking</t>
  </si>
  <si>
    <t>CH_001 - DataLake</t>
  </si>
  <si>
    <t>F</t>
  </si>
  <si>
    <t>CH_008 - Contrôle Int.</t>
  </si>
  <si>
    <t>CH_010 - GRC</t>
  </si>
  <si>
    <t>CH_014 - Référentiels</t>
  </si>
  <si>
    <t>CH_015 - Tarifaire</t>
  </si>
  <si>
    <t>M</t>
  </si>
  <si>
    <t>CH_016 - CRM</t>
  </si>
  <si>
    <t>CH_023 - CBS</t>
  </si>
  <si>
    <t>CH_025 - Hub Paiement</t>
  </si>
  <si>
    <t>CH_027 - Reporting</t>
  </si>
  <si>
    <t>CH_028 - GED</t>
  </si>
  <si>
    <t>CH_032 - API Mgmt</t>
  </si>
  <si>
    <t>B</t>
  </si>
  <si>
    <t>CH_033 - ETL</t>
  </si>
  <si>
    <t>CH_034 - Échanges</t>
  </si>
  <si>
    <t>CH_035 - DevSecOps</t>
  </si>
  <si>
    <t>CH_036 - ITSM</t>
  </si>
  <si>
    <t>CH_037 - PPM</t>
  </si>
  <si>
    <t>CH_038 - Cybersécurité</t>
  </si>
  <si>
    <t>CH_040 - Communication</t>
  </si>
  <si>
    <t>CH_041 - Infrastructure</t>
  </si>
  <si>
    <t>CH_043 - eBanking</t>
  </si>
  <si>
    <t>LÉGENDE:</t>
  </si>
  <si>
    <t>STATISTIQUES DES ADHÉRENCES</t>
  </si>
  <si>
    <t>Par Criticité</t>
  </si>
  <si>
    <t>Nombre</t>
  </si>
  <si>
    <t>Pourcentage</t>
  </si>
  <si>
    <t>TOTAL</t>
  </si>
  <si>
    <t>100%</t>
  </si>
  <si>
    <t>Par Type</t>
  </si>
  <si>
    <t>Par Domaine</t>
  </si>
  <si>
    <t>Type</t>
  </si>
  <si>
    <t>Autres</t>
  </si>
  <si>
    <t>Par Statut</t>
  </si>
  <si>
    <t>Résolu</t>
  </si>
  <si>
    <t>CHANTIERS SOURCES - NOMBRE DE DÉPENDANTS</t>
  </si>
  <si>
    <t>ID</t>
  </si>
  <si>
    <t>Chantier</t>
  </si>
  <si>
    <t>Nb Dépendants</t>
  </si>
  <si>
    <t>Dont Bloquantes</t>
  </si>
  <si>
    <t>Dont Fortes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</si>
</sst>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color rgb="FF721C24"/>
      <name val="Cambria"/>
      <charset val="1"/>
    </font>
    <font>
      <b/>
      <sz val="11"/>
      <color rgb="FF856404"/>
      <name val="Cambria"/>
      <charset val="1"/>
    </font>
    <font>
      <b/>
      <sz val="11"/>
      <color rgb="FF155724"/>
      <name val="Cambria"/>
      <charset val="1"/>
    </font>
    <font>
      <b/>
      <sz val="9"/>
      <name val="Cambria"/>
      <charset val="1"/>
    </font>
    <font>
      <b/>
      <sz val="8"/>
      <color rgb="FFFFFFFF"/>
      <name val="Cambria"/>
      <charset val="1"/>
    </font>
    <font>
      <b/>
      <sz val="9"/>
      <color rgb="FFFFFFFF"/>
      <name val="Cambria"/>
      <charset val="1"/>
    </font>
    <font>
      <b/>
      <sz val="10"/>
      <color rgb="FF856404"/>
      <name val="Cambria"/>
      <charset val="1"/>
    </font>
    <font>
      <b/>
      <sz val="10"/>
      <color rgb="FF155724"/>
      <name val="Cambria"/>
      <charset val="1"/>
    </font>
    <font>
      <b/>
      <sz val="10"/>
      <color rgb="FF721C24"/>
      <name val="Cambria"/>
      <charset val="1"/>
    </font>
    <font>
      <b/>
      <sz val="11"/>
      <name val="Cambria"/>
      <charset val="1"/>
    </font>
    <font>
      <b/>
      <sz val="14"/>
      <color rgb="FF1F4E79"/>
      <name val="Cambria"/>
      <charset val="1"/>
    </font>
    <font>
      <b/>
      <sz val="12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8D7DA"/>
        <bgColor rgb="FFE2E3E5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E2E3E5"/>
      </patternFill>
    </fill>
    <fill>
      <patternFill patternType="solid">
        <fgColor rgb="FFE2E3E5"/>
        <bgColor rgb="FFD9D9D9"/>
      </patternFill>
    </fill>
    <fill>
      <patternFill patternType="solid">
        <fgColor rgb="FFD9D9D9"/>
        <bgColor rgb="FFE2E3E5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2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0" xfId="0" applyFont="1"/>
    <xf numFmtId="0" fontId="0" fillId="3" borderId="0" xfId="0" applyFont="1" applyFill="1"/>
    <xf numFmtId="0" fontId="0" fillId="0" borderId="0" xfId="0" applyFont="1"/>
    <xf numFmtId="0" fontId="0" fillId="4" borderId="0" xfId="0" applyFont="1" applyFill="1"/>
    <xf numFmtId="0" fontId="0" fillId="5" borderId="0" xfId="0" applyFont="1" applyFill="1"/>
    <xf numFmtId="0" fontId="13" fillId="0" borderId="0" xfId="0" applyFont="1"/>
    <xf numFmtId="0" fontId="1" fillId="2" borderId="0" xfId="0" applyFont="1" applyFill="1"/>
    <xf numFmtId="9" fontId="0" fillId="0" borderId="0" xfId="0" applyNumberFormat="1"/>
    <xf numFmtId="0" fontId="0" fillId="6" borderId="0" xfId="0" applyFont="1" applyFill="1"/>
    <xf numFmtId="0" fontId="1" fillId="2" borderId="1" xfId="0" applyFont="1" applyFill="1" applyBorder="1"/>
    <xf numFmtId="0" fontId="0" fillId="0" borderId="1" xfId="0" applyFont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3CD"/>
      <rgbColor rgb="FFE2E3E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5724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30" customWidth="1"/>
    <col min="3" max="3" width="10" customWidth="1"/>
    <col min="4" max="4" width="30" customWidth="1"/>
    <col min="5" max="5" width="12" customWidth="1"/>
    <col min="6" max="6" width="18" customWidth="1"/>
    <col min="7" max="7" width="15" customWidth="1"/>
    <col min="8" max="8" width="45" customWidth="1"/>
    <col min="9" max="10" width="12" customWidth="1"/>
    <col min="11" max="11" width="15" customWidth="1"/>
    <col min="12" max="12" width="18" customWidth="1"/>
    <col min="13" max="14" width="15" customWidth="1"/>
    <col min="15" max="15" width="30" customWidth="1"/>
  </cols>
  <sheetData>
    <row r="1" spans="1:15" ht="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9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ht="28" x14ac:dyDescent="0.35">
      <c r="A3" s="3" t="s">
        <v>30</v>
      </c>
      <c r="B3" s="3" t="s">
        <v>16</v>
      </c>
      <c r="C3" s="3" t="s">
        <v>17</v>
      </c>
      <c r="D3" s="3" t="s">
        <v>31</v>
      </c>
      <c r="E3" s="3" t="s">
        <v>32</v>
      </c>
      <c r="F3" s="3" t="s">
        <v>20</v>
      </c>
      <c r="G3" s="3" t="s">
        <v>21</v>
      </c>
      <c r="H3" s="3" t="s">
        <v>33</v>
      </c>
      <c r="I3" s="4" t="s">
        <v>23</v>
      </c>
      <c r="J3" s="3" t="s">
        <v>24</v>
      </c>
      <c r="K3" s="3" t="s">
        <v>25</v>
      </c>
      <c r="L3" s="3" t="s">
        <v>34</v>
      </c>
      <c r="M3" s="3" t="s">
        <v>27</v>
      </c>
      <c r="N3" s="3" t="s">
        <v>35</v>
      </c>
      <c r="O3" s="3"/>
    </row>
    <row r="4" spans="1:15" ht="28" x14ac:dyDescent="0.35">
      <c r="A4" s="3" t="s">
        <v>36</v>
      </c>
      <c r="B4" s="3" t="s">
        <v>16</v>
      </c>
      <c r="C4" s="3" t="s">
        <v>17</v>
      </c>
      <c r="D4" s="3" t="s">
        <v>37</v>
      </c>
      <c r="E4" s="3" t="s">
        <v>38</v>
      </c>
      <c r="F4" s="3" t="s">
        <v>20</v>
      </c>
      <c r="G4" s="3" t="s">
        <v>21</v>
      </c>
      <c r="H4" s="3" t="s">
        <v>39</v>
      </c>
      <c r="I4" s="4" t="s">
        <v>23</v>
      </c>
      <c r="J4" s="3" t="s">
        <v>40</v>
      </c>
      <c r="K4" s="3" t="s">
        <v>25</v>
      </c>
      <c r="L4" s="3" t="s">
        <v>41</v>
      </c>
      <c r="M4" s="3" t="s">
        <v>27</v>
      </c>
      <c r="N4" s="3" t="s">
        <v>42</v>
      </c>
      <c r="O4" s="3"/>
    </row>
    <row r="5" spans="1:15" ht="28" x14ac:dyDescent="0.35">
      <c r="A5" s="3" t="s">
        <v>43</v>
      </c>
      <c r="B5" s="3" t="s">
        <v>44</v>
      </c>
      <c r="C5" s="3" t="s">
        <v>45</v>
      </c>
      <c r="D5" s="3" t="s">
        <v>18</v>
      </c>
      <c r="E5" s="3" t="s">
        <v>19</v>
      </c>
      <c r="F5" s="3" t="s">
        <v>20</v>
      </c>
      <c r="G5" s="3" t="s">
        <v>46</v>
      </c>
      <c r="H5" s="3" t="s">
        <v>47</v>
      </c>
      <c r="I5" s="4" t="s">
        <v>23</v>
      </c>
      <c r="J5" s="3" t="s">
        <v>24</v>
      </c>
      <c r="K5" s="3" t="s">
        <v>25</v>
      </c>
      <c r="L5" s="3" t="s">
        <v>48</v>
      </c>
      <c r="M5" s="3" t="s">
        <v>49</v>
      </c>
      <c r="N5" s="3" t="s">
        <v>50</v>
      </c>
      <c r="O5" s="3" t="s">
        <v>51</v>
      </c>
    </row>
    <row r="6" spans="1:15" ht="28" x14ac:dyDescent="0.35">
      <c r="A6" s="3" t="s">
        <v>52</v>
      </c>
      <c r="B6" s="3" t="s">
        <v>44</v>
      </c>
      <c r="C6" s="3" t="s">
        <v>45</v>
      </c>
      <c r="D6" s="3" t="s">
        <v>31</v>
      </c>
      <c r="E6" s="3" t="s">
        <v>32</v>
      </c>
      <c r="F6" s="3" t="s">
        <v>20</v>
      </c>
      <c r="G6" s="3" t="s">
        <v>46</v>
      </c>
      <c r="H6" s="3" t="s">
        <v>53</v>
      </c>
      <c r="I6" s="4" t="s">
        <v>23</v>
      </c>
      <c r="J6" s="3" t="s">
        <v>24</v>
      </c>
      <c r="K6" s="3" t="s">
        <v>25</v>
      </c>
      <c r="L6" s="3" t="s">
        <v>54</v>
      </c>
      <c r="M6" s="3" t="s">
        <v>49</v>
      </c>
      <c r="N6" s="3" t="s">
        <v>55</v>
      </c>
      <c r="O6" s="3"/>
    </row>
    <row r="7" spans="1:15" ht="28" x14ac:dyDescent="0.35">
      <c r="A7" s="3" t="s">
        <v>56</v>
      </c>
      <c r="B7" s="3" t="s">
        <v>44</v>
      </c>
      <c r="C7" s="3" t="s">
        <v>45</v>
      </c>
      <c r="D7" s="3" t="s">
        <v>57</v>
      </c>
      <c r="E7" s="3" t="s">
        <v>58</v>
      </c>
      <c r="F7" s="3" t="s">
        <v>20</v>
      </c>
      <c r="G7" s="3" t="s">
        <v>46</v>
      </c>
      <c r="H7" s="3" t="s">
        <v>59</v>
      </c>
      <c r="I7" s="4" t="s">
        <v>23</v>
      </c>
      <c r="J7" s="3" t="s">
        <v>40</v>
      </c>
      <c r="K7" s="3" t="s">
        <v>25</v>
      </c>
      <c r="L7" s="3" t="s">
        <v>48</v>
      </c>
      <c r="M7" s="3" t="s">
        <v>49</v>
      </c>
      <c r="N7" s="3" t="s">
        <v>60</v>
      </c>
      <c r="O7" s="3"/>
    </row>
    <row r="8" spans="1:15" ht="28" x14ac:dyDescent="0.35">
      <c r="A8" s="3" t="s">
        <v>61</v>
      </c>
      <c r="B8" s="3" t="s">
        <v>62</v>
      </c>
      <c r="C8" s="3" t="s">
        <v>63</v>
      </c>
      <c r="D8" s="3" t="s">
        <v>18</v>
      </c>
      <c r="E8" s="3" t="s">
        <v>19</v>
      </c>
      <c r="F8" s="3" t="s">
        <v>20</v>
      </c>
      <c r="G8" s="3" t="s">
        <v>64</v>
      </c>
      <c r="H8" s="3" t="s">
        <v>65</v>
      </c>
      <c r="I8" s="4" t="s">
        <v>23</v>
      </c>
      <c r="J8" s="3" t="s">
        <v>24</v>
      </c>
      <c r="K8" s="3" t="s">
        <v>25</v>
      </c>
      <c r="L8" s="3" t="s">
        <v>66</v>
      </c>
      <c r="M8" s="3" t="s">
        <v>67</v>
      </c>
      <c r="N8" s="3" t="s">
        <v>68</v>
      </c>
      <c r="O8" s="3"/>
    </row>
    <row r="9" spans="1:15" ht="28" x14ac:dyDescent="0.35">
      <c r="A9" s="3" t="s">
        <v>69</v>
      </c>
      <c r="B9" s="3" t="s">
        <v>62</v>
      </c>
      <c r="C9" s="3" t="s">
        <v>63</v>
      </c>
      <c r="D9" s="3" t="s">
        <v>31</v>
      </c>
      <c r="E9" s="3" t="s">
        <v>32</v>
      </c>
      <c r="F9" s="3" t="s">
        <v>20</v>
      </c>
      <c r="G9" s="3" t="s">
        <v>64</v>
      </c>
      <c r="H9" s="3" t="s">
        <v>70</v>
      </c>
      <c r="I9" s="4" t="s">
        <v>23</v>
      </c>
      <c r="J9" s="3" t="s">
        <v>24</v>
      </c>
      <c r="K9" s="3" t="s">
        <v>25</v>
      </c>
      <c r="L9" s="3" t="s">
        <v>66</v>
      </c>
      <c r="M9" s="3" t="s">
        <v>67</v>
      </c>
      <c r="N9" s="3" t="s">
        <v>71</v>
      </c>
      <c r="O9" s="3"/>
    </row>
    <row r="10" spans="1:15" ht="28" x14ac:dyDescent="0.35">
      <c r="A10" s="3" t="s">
        <v>72</v>
      </c>
      <c r="B10" s="3" t="s">
        <v>62</v>
      </c>
      <c r="C10" s="3" t="s">
        <v>63</v>
      </c>
      <c r="D10" s="3" t="s">
        <v>37</v>
      </c>
      <c r="E10" s="3" t="s">
        <v>38</v>
      </c>
      <c r="F10" s="3" t="s">
        <v>20</v>
      </c>
      <c r="G10" s="3" t="s">
        <v>64</v>
      </c>
      <c r="H10" s="3" t="s">
        <v>73</v>
      </c>
      <c r="I10" s="4" t="s">
        <v>23</v>
      </c>
      <c r="J10" s="3" t="s">
        <v>40</v>
      </c>
      <c r="K10" s="3" t="s">
        <v>25</v>
      </c>
      <c r="L10" s="3" t="s">
        <v>66</v>
      </c>
      <c r="M10" s="3" t="s">
        <v>67</v>
      </c>
      <c r="N10" s="3" t="s">
        <v>74</v>
      </c>
      <c r="O10" s="3"/>
    </row>
    <row r="11" spans="1:15" ht="28" x14ac:dyDescent="0.35">
      <c r="A11" s="3" t="s">
        <v>75</v>
      </c>
      <c r="B11" s="3" t="s">
        <v>62</v>
      </c>
      <c r="C11" s="3" t="s">
        <v>63</v>
      </c>
      <c r="D11" s="3" t="s">
        <v>57</v>
      </c>
      <c r="E11" s="3" t="s">
        <v>58</v>
      </c>
      <c r="F11" s="3" t="s">
        <v>20</v>
      </c>
      <c r="G11" s="3" t="s">
        <v>64</v>
      </c>
      <c r="H11" s="3" t="s">
        <v>76</v>
      </c>
      <c r="I11" s="4" t="s">
        <v>23</v>
      </c>
      <c r="J11" s="3" t="s">
        <v>40</v>
      </c>
      <c r="K11" s="3" t="s">
        <v>25</v>
      </c>
      <c r="L11" s="3" t="s">
        <v>66</v>
      </c>
      <c r="M11" s="3" t="s">
        <v>67</v>
      </c>
      <c r="N11" s="3" t="s">
        <v>77</v>
      </c>
      <c r="O11" s="3"/>
    </row>
    <row r="12" spans="1:15" x14ac:dyDescent="0.35">
      <c r="A12" s="3" t="s">
        <v>78</v>
      </c>
      <c r="B12" s="3" t="s">
        <v>79</v>
      </c>
      <c r="C12" s="3" t="s">
        <v>80</v>
      </c>
      <c r="D12" s="3" t="s">
        <v>31</v>
      </c>
      <c r="E12" s="3" t="s">
        <v>32</v>
      </c>
      <c r="F12" s="3" t="s">
        <v>81</v>
      </c>
      <c r="G12" s="3" t="s">
        <v>82</v>
      </c>
      <c r="H12" s="3" t="s">
        <v>83</v>
      </c>
      <c r="I12" s="5" t="s">
        <v>84</v>
      </c>
      <c r="J12" s="3" t="s">
        <v>24</v>
      </c>
      <c r="K12" s="3" t="s">
        <v>85</v>
      </c>
      <c r="L12" s="3" t="s">
        <v>86</v>
      </c>
      <c r="M12" s="3" t="s">
        <v>87</v>
      </c>
      <c r="N12" s="3" t="s">
        <v>88</v>
      </c>
      <c r="O12" s="3"/>
    </row>
    <row r="13" spans="1:15" x14ac:dyDescent="0.35">
      <c r="A13" s="3" t="s">
        <v>89</v>
      </c>
      <c r="B13" s="3" t="s">
        <v>79</v>
      </c>
      <c r="C13" s="3" t="s">
        <v>80</v>
      </c>
      <c r="D13" s="3" t="s">
        <v>18</v>
      </c>
      <c r="E13" s="3" t="s">
        <v>19</v>
      </c>
      <c r="F13" s="3" t="s">
        <v>81</v>
      </c>
      <c r="G13" s="3" t="s">
        <v>82</v>
      </c>
      <c r="H13" s="3" t="s">
        <v>90</v>
      </c>
      <c r="I13" s="5" t="s">
        <v>84</v>
      </c>
      <c r="J13" s="3" t="s">
        <v>24</v>
      </c>
      <c r="K13" s="3" t="s">
        <v>85</v>
      </c>
      <c r="L13" s="3" t="s">
        <v>91</v>
      </c>
      <c r="M13" s="3" t="s">
        <v>87</v>
      </c>
      <c r="N13" s="3" t="s">
        <v>92</v>
      </c>
      <c r="O13" s="3"/>
    </row>
    <row r="14" spans="1:15" x14ac:dyDescent="0.35">
      <c r="A14" s="3" t="s">
        <v>93</v>
      </c>
      <c r="B14" s="3" t="s">
        <v>79</v>
      </c>
      <c r="C14" s="3" t="s">
        <v>80</v>
      </c>
      <c r="D14" s="3" t="s">
        <v>37</v>
      </c>
      <c r="E14" s="3" t="s">
        <v>38</v>
      </c>
      <c r="F14" s="3" t="s">
        <v>81</v>
      </c>
      <c r="G14" s="3" t="s">
        <v>82</v>
      </c>
      <c r="H14" s="3" t="s">
        <v>94</v>
      </c>
      <c r="I14" s="5" t="s">
        <v>84</v>
      </c>
      <c r="J14" s="3" t="s">
        <v>40</v>
      </c>
      <c r="K14" s="3" t="s">
        <v>85</v>
      </c>
      <c r="L14" s="3" t="s">
        <v>95</v>
      </c>
      <c r="M14" s="3" t="s">
        <v>87</v>
      </c>
      <c r="N14" s="3" t="s">
        <v>96</v>
      </c>
      <c r="O14" s="3"/>
    </row>
    <row r="15" spans="1:15" x14ac:dyDescent="0.35">
      <c r="A15" s="3" t="s">
        <v>97</v>
      </c>
      <c r="B15" s="3" t="s">
        <v>79</v>
      </c>
      <c r="C15" s="3" t="s">
        <v>80</v>
      </c>
      <c r="D15" s="3" t="s">
        <v>98</v>
      </c>
      <c r="E15" s="3" t="s">
        <v>99</v>
      </c>
      <c r="F15" s="3" t="s">
        <v>82</v>
      </c>
      <c r="G15" s="3" t="s">
        <v>82</v>
      </c>
      <c r="H15" s="3" t="s">
        <v>100</v>
      </c>
      <c r="I15" s="5" t="s">
        <v>84</v>
      </c>
      <c r="J15" s="3" t="s">
        <v>40</v>
      </c>
      <c r="K15" s="3" t="s">
        <v>85</v>
      </c>
      <c r="L15" s="3" t="s">
        <v>101</v>
      </c>
      <c r="M15" s="3" t="s">
        <v>87</v>
      </c>
      <c r="N15" s="3" t="s">
        <v>102</v>
      </c>
      <c r="O15" s="3"/>
    </row>
    <row r="16" spans="1:15" x14ac:dyDescent="0.35">
      <c r="A16" s="3" t="s">
        <v>103</v>
      </c>
      <c r="B16" s="3" t="s">
        <v>104</v>
      </c>
      <c r="C16" s="3" t="s">
        <v>105</v>
      </c>
      <c r="D16" s="3" t="s">
        <v>98</v>
      </c>
      <c r="E16" s="3" t="s">
        <v>99</v>
      </c>
      <c r="F16" s="3" t="s">
        <v>82</v>
      </c>
      <c r="G16" s="3" t="s">
        <v>82</v>
      </c>
      <c r="H16" s="3" t="s">
        <v>106</v>
      </c>
      <c r="I16" s="5" t="s">
        <v>84</v>
      </c>
      <c r="J16" s="3" t="s">
        <v>40</v>
      </c>
      <c r="K16" s="3" t="s">
        <v>25</v>
      </c>
      <c r="L16" s="3" t="s">
        <v>91</v>
      </c>
      <c r="M16" s="3" t="s">
        <v>107</v>
      </c>
      <c r="N16" s="3" t="s">
        <v>108</v>
      </c>
      <c r="O16" s="3"/>
    </row>
    <row r="17" spans="1:15" x14ac:dyDescent="0.35">
      <c r="A17" s="3" t="s">
        <v>109</v>
      </c>
      <c r="B17" s="3" t="s">
        <v>104</v>
      </c>
      <c r="C17" s="3" t="s">
        <v>105</v>
      </c>
      <c r="D17" s="3" t="s">
        <v>110</v>
      </c>
      <c r="E17" s="3" t="s">
        <v>111</v>
      </c>
      <c r="F17" s="3" t="s">
        <v>82</v>
      </c>
      <c r="G17" s="3" t="s">
        <v>82</v>
      </c>
      <c r="H17" s="3" t="s">
        <v>112</v>
      </c>
      <c r="I17" s="5" t="s">
        <v>84</v>
      </c>
      <c r="J17" s="3" t="s">
        <v>40</v>
      </c>
      <c r="K17" s="3" t="s">
        <v>25</v>
      </c>
      <c r="L17" s="3" t="s">
        <v>101</v>
      </c>
      <c r="M17" s="3" t="s">
        <v>107</v>
      </c>
      <c r="N17" s="3" t="s">
        <v>113</v>
      </c>
      <c r="O17" s="3"/>
    </row>
    <row r="18" spans="1:15" x14ac:dyDescent="0.35">
      <c r="A18" s="3" t="s">
        <v>114</v>
      </c>
      <c r="B18" s="3" t="s">
        <v>104</v>
      </c>
      <c r="C18" s="3" t="s">
        <v>105</v>
      </c>
      <c r="D18" s="3" t="s">
        <v>115</v>
      </c>
      <c r="E18" s="3" t="s">
        <v>116</v>
      </c>
      <c r="F18" s="3" t="s">
        <v>82</v>
      </c>
      <c r="G18" s="3" t="s">
        <v>82</v>
      </c>
      <c r="H18" s="3" t="s">
        <v>117</v>
      </c>
      <c r="I18" s="5" t="s">
        <v>84</v>
      </c>
      <c r="J18" s="3" t="s">
        <v>40</v>
      </c>
      <c r="K18" s="3" t="s">
        <v>25</v>
      </c>
      <c r="L18" s="3" t="s">
        <v>95</v>
      </c>
      <c r="M18" s="3" t="s">
        <v>107</v>
      </c>
      <c r="N18" s="3" t="s">
        <v>118</v>
      </c>
      <c r="O18" s="3"/>
    </row>
    <row r="19" spans="1:15" x14ac:dyDescent="0.35">
      <c r="A19" s="3" t="s">
        <v>119</v>
      </c>
      <c r="B19" s="3" t="s">
        <v>18</v>
      </c>
      <c r="C19" s="3" t="s">
        <v>19</v>
      </c>
      <c r="D19" s="3" t="s">
        <v>37</v>
      </c>
      <c r="E19" s="3" t="s">
        <v>38</v>
      </c>
      <c r="F19" s="3" t="s">
        <v>81</v>
      </c>
      <c r="G19" s="3" t="s">
        <v>120</v>
      </c>
      <c r="H19" s="3" t="s">
        <v>121</v>
      </c>
      <c r="I19" s="5" t="s">
        <v>84</v>
      </c>
      <c r="J19" s="3" t="s">
        <v>40</v>
      </c>
      <c r="K19" s="3" t="s">
        <v>122</v>
      </c>
      <c r="L19" s="3" t="s">
        <v>123</v>
      </c>
      <c r="M19" s="3" t="s">
        <v>124</v>
      </c>
      <c r="N19" s="3" t="s">
        <v>125</v>
      </c>
      <c r="O19" s="3"/>
    </row>
    <row r="20" spans="1:15" x14ac:dyDescent="0.35">
      <c r="A20" s="3" t="s">
        <v>126</v>
      </c>
      <c r="B20" s="3" t="s">
        <v>18</v>
      </c>
      <c r="C20" s="3" t="s">
        <v>19</v>
      </c>
      <c r="D20" s="3" t="s">
        <v>57</v>
      </c>
      <c r="E20" s="3" t="s">
        <v>58</v>
      </c>
      <c r="F20" s="3" t="s">
        <v>81</v>
      </c>
      <c r="G20" s="3" t="s">
        <v>120</v>
      </c>
      <c r="H20" s="3" t="s">
        <v>127</v>
      </c>
      <c r="I20" s="5" t="s">
        <v>84</v>
      </c>
      <c r="J20" s="3" t="s">
        <v>40</v>
      </c>
      <c r="K20" s="3" t="s">
        <v>122</v>
      </c>
      <c r="L20" s="3" t="s">
        <v>128</v>
      </c>
      <c r="M20" s="3" t="s">
        <v>124</v>
      </c>
      <c r="N20" s="3" t="s">
        <v>129</v>
      </c>
      <c r="O20" s="3"/>
    </row>
    <row r="21" spans="1:15" x14ac:dyDescent="0.35">
      <c r="A21" s="3" t="s">
        <v>130</v>
      </c>
      <c r="B21" s="3" t="s">
        <v>18</v>
      </c>
      <c r="C21" s="3" t="s">
        <v>19</v>
      </c>
      <c r="D21" s="3" t="s">
        <v>131</v>
      </c>
      <c r="E21" s="3" t="s">
        <v>132</v>
      </c>
      <c r="F21" s="3" t="s">
        <v>81</v>
      </c>
      <c r="G21" s="3" t="s">
        <v>120</v>
      </c>
      <c r="H21" s="3" t="s">
        <v>133</v>
      </c>
      <c r="I21" s="5" t="s">
        <v>84</v>
      </c>
      <c r="J21" s="3" t="s">
        <v>40</v>
      </c>
      <c r="K21" s="3" t="s">
        <v>122</v>
      </c>
      <c r="L21" s="3" t="s">
        <v>128</v>
      </c>
      <c r="M21" s="3" t="s">
        <v>124</v>
      </c>
      <c r="N21" s="3" t="s">
        <v>134</v>
      </c>
      <c r="O21" s="3"/>
    </row>
    <row r="22" spans="1:15" x14ac:dyDescent="0.35">
      <c r="A22" s="3" t="s">
        <v>135</v>
      </c>
      <c r="B22" s="3" t="s">
        <v>18</v>
      </c>
      <c r="C22" s="3" t="s">
        <v>19</v>
      </c>
      <c r="D22" s="3" t="s">
        <v>98</v>
      </c>
      <c r="E22" s="3" t="s">
        <v>99</v>
      </c>
      <c r="F22" s="3" t="s">
        <v>82</v>
      </c>
      <c r="G22" s="3" t="s">
        <v>82</v>
      </c>
      <c r="H22" s="3" t="s">
        <v>136</v>
      </c>
      <c r="I22" s="5" t="s">
        <v>84</v>
      </c>
      <c r="J22" s="3" t="s">
        <v>40</v>
      </c>
      <c r="K22" s="3" t="s">
        <v>122</v>
      </c>
      <c r="L22" s="3" t="s">
        <v>137</v>
      </c>
      <c r="M22" s="3" t="s">
        <v>124</v>
      </c>
      <c r="N22" s="3" t="s">
        <v>138</v>
      </c>
      <c r="O22" s="3"/>
    </row>
    <row r="23" spans="1:15" x14ac:dyDescent="0.35">
      <c r="A23" s="3" t="s">
        <v>139</v>
      </c>
      <c r="B23" s="3" t="s">
        <v>31</v>
      </c>
      <c r="C23" s="3" t="s">
        <v>32</v>
      </c>
      <c r="D23" s="3" t="s">
        <v>57</v>
      </c>
      <c r="E23" s="3" t="s">
        <v>58</v>
      </c>
      <c r="F23" s="3" t="s">
        <v>81</v>
      </c>
      <c r="G23" s="3" t="s">
        <v>120</v>
      </c>
      <c r="H23" s="3" t="s">
        <v>140</v>
      </c>
      <c r="I23" s="6" t="s">
        <v>141</v>
      </c>
      <c r="J23" s="3" t="s">
        <v>40</v>
      </c>
      <c r="K23" s="3" t="s">
        <v>122</v>
      </c>
      <c r="L23" s="3" t="s">
        <v>142</v>
      </c>
      <c r="M23" s="3" t="s">
        <v>143</v>
      </c>
      <c r="N23" s="3" t="s">
        <v>144</v>
      </c>
      <c r="O23" s="3"/>
    </row>
    <row r="24" spans="1:15" x14ac:dyDescent="0.35">
      <c r="A24" s="3" t="s">
        <v>145</v>
      </c>
      <c r="B24" s="3" t="s">
        <v>31</v>
      </c>
      <c r="C24" s="3" t="s">
        <v>32</v>
      </c>
      <c r="D24" s="3" t="s">
        <v>146</v>
      </c>
      <c r="E24" s="3" t="s">
        <v>147</v>
      </c>
      <c r="F24" s="3" t="s">
        <v>20</v>
      </c>
      <c r="G24" s="3" t="s">
        <v>64</v>
      </c>
      <c r="H24" s="3" t="s">
        <v>148</v>
      </c>
      <c r="I24" s="6" t="s">
        <v>141</v>
      </c>
      <c r="J24" s="3" t="s">
        <v>40</v>
      </c>
      <c r="K24" s="3" t="s">
        <v>122</v>
      </c>
      <c r="L24" s="3" t="s">
        <v>101</v>
      </c>
      <c r="M24" s="3" t="s">
        <v>143</v>
      </c>
      <c r="N24" s="3" t="s">
        <v>149</v>
      </c>
      <c r="O24" s="3"/>
    </row>
    <row r="25" spans="1:15" x14ac:dyDescent="0.35">
      <c r="A25" s="3" t="s">
        <v>150</v>
      </c>
      <c r="B25" s="3" t="s">
        <v>146</v>
      </c>
      <c r="C25" s="3" t="s">
        <v>147</v>
      </c>
      <c r="D25" s="3" t="s">
        <v>18</v>
      </c>
      <c r="E25" s="3" t="s">
        <v>19</v>
      </c>
      <c r="F25" s="3" t="s">
        <v>20</v>
      </c>
      <c r="G25" s="3" t="s">
        <v>64</v>
      </c>
      <c r="H25" s="3" t="s">
        <v>151</v>
      </c>
      <c r="I25" s="6" t="s">
        <v>141</v>
      </c>
      <c r="J25" s="3" t="s">
        <v>40</v>
      </c>
      <c r="K25" s="3" t="s">
        <v>122</v>
      </c>
      <c r="L25" s="3" t="s">
        <v>95</v>
      </c>
      <c r="M25" s="3" t="s">
        <v>152</v>
      </c>
      <c r="N25" s="3" t="s">
        <v>153</v>
      </c>
      <c r="O25" s="3"/>
    </row>
    <row r="26" spans="1:15" x14ac:dyDescent="0.35">
      <c r="A26" s="3" t="s">
        <v>154</v>
      </c>
      <c r="B26" s="3" t="s">
        <v>146</v>
      </c>
      <c r="C26" s="3" t="s">
        <v>147</v>
      </c>
      <c r="D26" s="3" t="s">
        <v>57</v>
      </c>
      <c r="E26" s="3" t="s">
        <v>58</v>
      </c>
      <c r="F26" s="3" t="s">
        <v>20</v>
      </c>
      <c r="G26" s="3" t="s">
        <v>64</v>
      </c>
      <c r="H26" s="3" t="s">
        <v>155</v>
      </c>
      <c r="I26" s="6" t="s">
        <v>141</v>
      </c>
      <c r="J26" s="3" t="s">
        <v>40</v>
      </c>
      <c r="K26" s="3" t="s">
        <v>122</v>
      </c>
      <c r="L26" s="3" t="s">
        <v>142</v>
      </c>
      <c r="M26" s="3" t="s">
        <v>152</v>
      </c>
      <c r="N26" s="3" t="s">
        <v>156</v>
      </c>
      <c r="O26" s="3"/>
    </row>
    <row r="27" spans="1:15" x14ac:dyDescent="0.35">
      <c r="A27" s="3" t="s">
        <v>157</v>
      </c>
      <c r="B27" s="3" t="s">
        <v>158</v>
      </c>
      <c r="C27" s="3" t="s">
        <v>159</v>
      </c>
      <c r="D27" s="3" t="s">
        <v>160</v>
      </c>
      <c r="E27" s="3" t="s">
        <v>161</v>
      </c>
      <c r="F27" s="3" t="s">
        <v>20</v>
      </c>
      <c r="G27" s="3" t="s">
        <v>162</v>
      </c>
      <c r="H27" s="3" t="s">
        <v>163</v>
      </c>
      <c r="I27" s="6" t="s">
        <v>141</v>
      </c>
      <c r="J27" s="3" t="s">
        <v>24</v>
      </c>
      <c r="K27" s="3" t="s">
        <v>164</v>
      </c>
      <c r="L27" s="3" t="s">
        <v>137</v>
      </c>
      <c r="M27" s="3" t="s">
        <v>165</v>
      </c>
      <c r="N27" s="3" t="s">
        <v>166</v>
      </c>
      <c r="O27" s="3" t="s">
        <v>167</v>
      </c>
    </row>
    <row r="28" spans="1:15" x14ac:dyDescent="0.35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161</v>
      </c>
      <c r="F28" s="3" t="s">
        <v>20</v>
      </c>
      <c r="G28" s="3" t="s">
        <v>172</v>
      </c>
      <c r="H28" s="3" t="s">
        <v>173</v>
      </c>
      <c r="I28" s="6" t="s">
        <v>141</v>
      </c>
      <c r="J28" s="3" t="s">
        <v>40</v>
      </c>
      <c r="K28" s="3" t="s">
        <v>174</v>
      </c>
      <c r="L28" s="3" t="s">
        <v>123</v>
      </c>
      <c r="M28" s="3" t="s">
        <v>175</v>
      </c>
      <c r="N28" s="3" t="s">
        <v>166</v>
      </c>
      <c r="O28" s="3" t="s">
        <v>167</v>
      </c>
    </row>
    <row r="29" spans="1:15" x14ac:dyDescent="0.35">
      <c r="A29" s="3" t="s">
        <v>176</v>
      </c>
      <c r="B29" s="3" t="s">
        <v>131</v>
      </c>
      <c r="C29" s="3" t="s">
        <v>132</v>
      </c>
      <c r="D29" s="3" t="s">
        <v>31</v>
      </c>
      <c r="E29" s="3" t="s">
        <v>32</v>
      </c>
      <c r="F29" s="3" t="s">
        <v>81</v>
      </c>
      <c r="G29" s="3" t="s">
        <v>120</v>
      </c>
      <c r="H29" s="3" t="s">
        <v>177</v>
      </c>
      <c r="I29" s="6" t="s">
        <v>141</v>
      </c>
      <c r="J29" s="3" t="s">
        <v>40</v>
      </c>
      <c r="K29" s="3" t="s">
        <v>178</v>
      </c>
      <c r="L29" s="3" t="s">
        <v>142</v>
      </c>
      <c r="M29" s="3" t="s">
        <v>179</v>
      </c>
      <c r="N29" s="3" t="s">
        <v>180</v>
      </c>
      <c r="O29" s="3"/>
    </row>
    <row r="30" spans="1:15" x14ac:dyDescent="0.35">
      <c r="A30" s="3" t="s">
        <v>181</v>
      </c>
      <c r="B30" s="3" t="s">
        <v>131</v>
      </c>
      <c r="C30" s="3" t="s">
        <v>132</v>
      </c>
      <c r="D30" s="3" t="s">
        <v>57</v>
      </c>
      <c r="E30" s="3" t="s">
        <v>58</v>
      </c>
      <c r="F30" s="3" t="s">
        <v>81</v>
      </c>
      <c r="G30" s="3" t="s">
        <v>120</v>
      </c>
      <c r="H30" s="3" t="s">
        <v>182</v>
      </c>
      <c r="I30" s="6" t="s">
        <v>141</v>
      </c>
      <c r="J30" s="3" t="s">
        <v>40</v>
      </c>
      <c r="K30" s="3" t="s">
        <v>178</v>
      </c>
      <c r="L30" s="3" t="s">
        <v>183</v>
      </c>
      <c r="M30" s="3" t="s">
        <v>179</v>
      </c>
      <c r="N30" s="3" t="s">
        <v>184</v>
      </c>
      <c r="O30" s="3"/>
    </row>
    <row r="31" spans="1:15" x14ac:dyDescent="0.35">
      <c r="A31" s="3" t="s">
        <v>185</v>
      </c>
      <c r="B31" s="3" t="s">
        <v>186</v>
      </c>
      <c r="C31" s="3" t="s">
        <v>187</v>
      </c>
      <c r="D31" s="3" t="s">
        <v>104</v>
      </c>
      <c r="E31" s="3" t="s">
        <v>105</v>
      </c>
      <c r="F31" s="3" t="s">
        <v>20</v>
      </c>
      <c r="G31" s="3" t="s">
        <v>82</v>
      </c>
      <c r="H31" s="3" t="s">
        <v>188</v>
      </c>
      <c r="I31" s="6" t="s">
        <v>141</v>
      </c>
      <c r="J31" s="3" t="s">
        <v>40</v>
      </c>
      <c r="K31" s="3" t="s">
        <v>122</v>
      </c>
      <c r="L31" s="3" t="s">
        <v>189</v>
      </c>
      <c r="M31" s="3" t="s">
        <v>190</v>
      </c>
      <c r="N31" s="3" t="s">
        <v>191</v>
      </c>
      <c r="O31" s="3"/>
    </row>
    <row r="32" spans="1:15" x14ac:dyDescent="0.35">
      <c r="A32" s="3" t="s">
        <v>192</v>
      </c>
      <c r="B32" s="3" t="s">
        <v>186</v>
      </c>
      <c r="C32" s="3" t="s">
        <v>187</v>
      </c>
      <c r="D32" s="3" t="s">
        <v>98</v>
      </c>
      <c r="E32" s="3" t="s">
        <v>99</v>
      </c>
      <c r="F32" s="3" t="s">
        <v>20</v>
      </c>
      <c r="G32" s="3" t="s">
        <v>82</v>
      </c>
      <c r="H32" s="3" t="s">
        <v>193</v>
      </c>
      <c r="I32" s="6" t="s">
        <v>141</v>
      </c>
      <c r="J32" s="3" t="s">
        <v>40</v>
      </c>
      <c r="K32" s="3" t="s">
        <v>122</v>
      </c>
      <c r="L32" s="3" t="s">
        <v>137</v>
      </c>
      <c r="M32" s="3" t="s">
        <v>190</v>
      </c>
      <c r="N32" s="3" t="s">
        <v>194</v>
      </c>
      <c r="O32" s="3"/>
    </row>
    <row r="33" spans="1:15" x14ac:dyDescent="0.35">
      <c r="A33" s="3" t="s">
        <v>195</v>
      </c>
      <c r="B33" s="3" t="s">
        <v>196</v>
      </c>
      <c r="C33" s="3" t="s">
        <v>197</v>
      </c>
      <c r="D33" s="3" t="s">
        <v>37</v>
      </c>
      <c r="E33" s="3" t="s">
        <v>38</v>
      </c>
      <c r="F33" s="3" t="s">
        <v>20</v>
      </c>
      <c r="G33" s="3" t="s">
        <v>64</v>
      </c>
      <c r="H33" s="3" t="s">
        <v>198</v>
      </c>
      <c r="I33" s="6" t="s">
        <v>141</v>
      </c>
      <c r="J33" s="3" t="s">
        <v>40</v>
      </c>
      <c r="K33" s="3" t="s">
        <v>199</v>
      </c>
      <c r="L33" s="3" t="s">
        <v>200</v>
      </c>
      <c r="M33" s="3" t="s">
        <v>201</v>
      </c>
      <c r="N33" s="3" t="s">
        <v>202</v>
      </c>
      <c r="O33" s="3"/>
    </row>
    <row r="34" spans="1:15" x14ac:dyDescent="0.35">
      <c r="A34" s="3" t="s">
        <v>203</v>
      </c>
      <c r="B34" s="3" t="s">
        <v>204</v>
      </c>
      <c r="C34" s="3" t="s">
        <v>205</v>
      </c>
      <c r="D34" s="3" t="s">
        <v>171</v>
      </c>
      <c r="E34" s="3" t="s">
        <v>161</v>
      </c>
      <c r="F34" s="3" t="s">
        <v>206</v>
      </c>
      <c r="G34" s="3" t="s">
        <v>207</v>
      </c>
      <c r="H34" s="3" t="s">
        <v>208</v>
      </c>
      <c r="I34" s="7" t="s">
        <v>209</v>
      </c>
      <c r="J34" s="3" t="s">
        <v>24</v>
      </c>
      <c r="K34" s="3" t="s">
        <v>122</v>
      </c>
      <c r="L34" s="3" t="s">
        <v>210</v>
      </c>
      <c r="M34" s="3" t="s">
        <v>211</v>
      </c>
      <c r="N34" s="3" t="s">
        <v>166</v>
      </c>
      <c r="O34" s="3"/>
    </row>
    <row r="35" spans="1:15" ht="29" x14ac:dyDescent="0.35">
      <c r="A35" s="3" t="s">
        <v>212</v>
      </c>
      <c r="B35" s="3" t="s">
        <v>213</v>
      </c>
      <c r="C35" s="3" t="s">
        <v>214</v>
      </c>
      <c r="D35" s="3" t="s">
        <v>171</v>
      </c>
      <c r="E35" s="3" t="s">
        <v>161</v>
      </c>
      <c r="F35" s="3" t="s">
        <v>206</v>
      </c>
      <c r="G35" s="3" t="s">
        <v>215</v>
      </c>
      <c r="H35" s="3" t="s">
        <v>216</v>
      </c>
      <c r="I35" s="7" t="s">
        <v>209</v>
      </c>
      <c r="J35" s="3" t="s">
        <v>24</v>
      </c>
      <c r="K35" s="3" t="s">
        <v>164</v>
      </c>
      <c r="L35" s="3" t="s">
        <v>91</v>
      </c>
      <c r="M35" s="3" t="s">
        <v>217</v>
      </c>
      <c r="N35" s="3" t="s">
        <v>166</v>
      </c>
      <c r="O35" s="3" t="s">
        <v>218</v>
      </c>
    </row>
    <row r="36" spans="1:15" x14ac:dyDescent="0.35">
      <c r="A36" s="3" t="s">
        <v>219</v>
      </c>
      <c r="B36" s="3" t="s">
        <v>220</v>
      </c>
      <c r="C36" s="3" t="s">
        <v>221</v>
      </c>
      <c r="D36" s="3" t="s">
        <v>171</v>
      </c>
      <c r="E36" s="3" t="s">
        <v>161</v>
      </c>
      <c r="F36" s="3" t="s">
        <v>20</v>
      </c>
      <c r="G36" s="3" t="s">
        <v>222</v>
      </c>
      <c r="H36" s="3" t="s">
        <v>223</v>
      </c>
      <c r="I36" s="7" t="s">
        <v>209</v>
      </c>
      <c r="J36" s="3" t="s">
        <v>24</v>
      </c>
      <c r="K36" s="3" t="s">
        <v>25</v>
      </c>
      <c r="L36" s="3" t="s">
        <v>224</v>
      </c>
      <c r="M36" s="3" t="s">
        <v>67</v>
      </c>
      <c r="N36" s="3" t="s">
        <v>166</v>
      </c>
      <c r="O36" s="3" t="s">
        <v>225</v>
      </c>
    </row>
    <row r="37" spans="1:15" x14ac:dyDescent="0.35">
      <c r="A37" s="3" t="s">
        <v>226</v>
      </c>
      <c r="B37" s="3" t="s">
        <v>110</v>
      </c>
      <c r="C37" s="3" t="s">
        <v>111</v>
      </c>
      <c r="D37" s="3" t="s">
        <v>98</v>
      </c>
      <c r="E37" s="3" t="s">
        <v>99</v>
      </c>
      <c r="F37" s="3" t="s">
        <v>81</v>
      </c>
      <c r="G37" s="3" t="s">
        <v>227</v>
      </c>
      <c r="H37" s="3" t="s">
        <v>228</v>
      </c>
      <c r="I37" s="7" t="s">
        <v>209</v>
      </c>
      <c r="J37" s="3" t="s">
        <v>40</v>
      </c>
      <c r="K37" s="3" t="s">
        <v>229</v>
      </c>
      <c r="L37" s="3" t="s">
        <v>128</v>
      </c>
      <c r="M37" s="3" t="s">
        <v>230</v>
      </c>
      <c r="N37" s="3" t="s">
        <v>231</v>
      </c>
      <c r="O37" s="3"/>
    </row>
    <row r="38" spans="1:15" x14ac:dyDescent="0.35">
      <c r="A38" s="3" t="s">
        <v>232</v>
      </c>
      <c r="B38" s="3" t="s">
        <v>115</v>
      </c>
      <c r="C38" s="3" t="s">
        <v>116</v>
      </c>
      <c r="D38" s="3" t="s">
        <v>98</v>
      </c>
      <c r="E38" s="3" t="s">
        <v>99</v>
      </c>
      <c r="F38" s="3" t="s">
        <v>81</v>
      </c>
      <c r="G38" s="3" t="s">
        <v>233</v>
      </c>
      <c r="H38" s="3" t="s">
        <v>234</v>
      </c>
      <c r="I38" s="7" t="s">
        <v>209</v>
      </c>
      <c r="J38" s="3" t="s">
        <v>40</v>
      </c>
      <c r="K38" s="3" t="s">
        <v>235</v>
      </c>
      <c r="L38" s="3" t="s">
        <v>123</v>
      </c>
      <c r="M38" s="3" t="s">
        <v>236</v>
      </c>
      <c r="N38" s="3" t="s">
        <v>237</v>
      </c>
      <c r="O38" s="3"/>
    </row>
  </sheetData>
  <autoFilter ref="A1:O3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22" customWidth="1"/>
    <col min="2" max="21" width="5" customWidth="1"/>
  </cols>
  <sheetData>
    <row r="1" spans="1:21" ht="79.5" customHeight="1" x14ac:dyDescent="0.35">
      <c r="A1" s="8" t="s">
        <v>238</v>
      </c>
      <c r="B1" s="9" t="s">
        <v>239</v>
      </c>
      <c r="C1" s="9" t="s">
        <v>240</v>
      </c>
      <c r="D1" s="9" t="s">
        <v>241</v>
      </c>
      <c r="E1" s="9" t="s">
        <v>242</v>
      </c>
      <c r="F1" s="9" t="s">
        <v>243</v>
      </c>
      <c r="G1" s="9" t="s">
        <v>244</v>
      </c>
      <c r="H1" s="9" t="s">
        <v>245</v>
      </c>
      <c r="I1" s="9" t="s">
        <v>246</v>
      </c>
      <c r="J1" s="9" t="s">
        <v>247</v>
      </c>
      <c r="K1" s="9" t="s">
        <v>248</v>
      </c>
      <c r="L1" s="9" t="s">
        <v>249</v>
      </c>
      <c r="M1" s="9" t="s">
        <v>250</v>
      </c>
      <c r="N1" s="9" t="s">
        <v>251</v>
      </c>
      <c r="O1" s="9" t="s">
        <v>252</v>
      </c>
      <c r="P1" s="9" t="s">
        <v>253</v>
      </c>
      <c r="Q1" s="9" t="s">
        <v>254</v>
      </c>
      <c r="R1" s="9" t="s">
        <v>255</v>
      </c>
      <c r="S1" s="9" t="s">
        <v>256</v>
      </c>
      <c r="T1" s="9" t="s">
        <v>257</v>
      </c>
      <c r="U1" s="9" t="s">
        <v>258</v>
      </c>
    </row>
    <row r="2" spans="1:21" ht="19.5" customHeight="1" x14ac:dyDescent="0.35">
      <c r="A2" s="10" t="s">
        <v>259</v>
      </c>
      <c r="B2" s="11"/>
      <c r="C2" s="12" t="s">
        <v>260</v>
      </c>
      <c r="D2" s="12" t="s">
        <v>260</v>
      </c>
      <c r="E2" s="13"/>
      <c r="F2" s="13"/>
      <c r="G2" s="13"/>
      <c r="H2" s="13"/>
      <c r="I2" s="13"/>
      <c r="J2" s="12" t="s">
        <v>260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9.5" customHeight="1" x14ac:dyDescent="0.35">
      <c r="A3" s="10" t="s">
        <v>261</v>
      </c>
      <c r="B3" s="13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19.5" customHeight="1" x14ac:dyDescent="0.35">
      <c r="A4" s="10" t="s">
        <v>262</v>
      </c>
      <c r="B4" s="13"/>
      <c r="C4" s="13"/>
      <c r="D4" s="11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9.5" customHeight="1" x14ac:dyDescent="0.35">
      <c r="A5" s="10" t="s">
        <v>263</v>
      </c>
      <c r="B5" s="13"/>
      <c r="C5" s="13"/>
      <c r="D5" s="13"/>
      <c r="E5" s="11"/>
      <c r="F5" s="13"/>
      <c r="G5" s="12" t="s">
        <v>260</v>
      </c>
      <c r="H5" s="12" t="s">
        <v>260</v>
      </c>
      <c r="I5" s="12" t="s">
        <v>260</v>
      </c>
      <c r="J5" s="12" t="s">
        <v>260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9.5" customHeight="1" x14ac:dyDescent="0.35">
      <c r="A6" s="10" t="s">
        <v>264</v>
      </c>
      <c r="B6" s="13"/>
      <c r="C6" s="13"/>
      <c r="D6" s="13"/>
      <c r="E6" s="13"/>
      <c r="F6" s="11"/>
      <c r="G6" s="14" t="s">
        <v>265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 t="s">
        <v>265</v>
      </c>
    </row>
    <row r="7" spans="1:21" ht="19.5" customHeight="1" x14ac:dyDescent="0.35">
      <c r="A7" s="10" t="s">
        <v>266</v>
      </c>
      <c r="B7" s="13"/>
      <c r="C7" s="13"/>
      <c r="D7" s="13"/>
      <c r="E7" s="13"/>
      <c r="F7" s="13"/>
      <c r="G7" s="11"/>
      <c r="H7" s="13"/>
      <c r="I7" s="13"/>
      <c r="J7" s="13"/>
      <c r="K7" s="14" t="s">
        <v>265</v>
      </c>
      <c r="L7" s="13"/>
      <c r="M7" s="13"/>
      <c r="N7" s="13"/>
      <c r="O7" s="13"/>
      <c r="P7" s="13"/>
      <c r="Q7" s="13"/>
      <c r="R7" s="13"/>
      <c r="S7" s="13"/>
      <c r="T7" s="13"/>
      <c r="U7" s="14" t="s">
        <v>265</v>
      </c>
    </row>
    <row r="8" spans="1:21" ht="19.5" customHeight="1" x14ac:dyDescent="0.35">
      <c r="A8" s="10" t="s">
        <v>267</v>
      </c>
      <c r="B8" s="13"/>
      <c r="C8" s="13"/>
      <c r="D8" s="13"/>
      <c r="E8" s="13"/>
      <c r="F8" s="12" t="s">
        <v>260</v>
      </c>
      <c r="G8" s="13"/>
      <c r="H8" s="11"/>
      <c r="I8" s="12" t="s">
        <v>260</v>
      </c>
      <c r="J8" s="12" t="s">
        <v>260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2" t="s">
        <v>260</v>
      </c>
    </row>
    <row r="9" spans="1:21" ht="19.5" customHeight="1" x14ac:dyDescent="0.35">
      <c r="A9" s="10" t="s">
        <v>268</v>
      </c>
      <c r="B9" s="13"/>
      <c r="C9" s="13"/>
      <c r="D9" s="13"/>
      <c r="E9" s="13"/>
      <c r="F9" s="13"/>
      <c r="G9" s="13"/>
      <c r="H9" s="13"/>
      <c r="I9" s="1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19.5" customHeight="1" x14ac:dyDescent="0.35">
      <c r="A10" s="10" t="s">
        <v>269</v>
      </c>
      <c r="B10" s="13"/>
      <c r="C10" s="13"/>
      <c r="D10" s="13"/>
      <c r="E10" s="13"/>
      <c r="F10" s="13"/>
      <c r="G10" s="13"/>
      <c r="H10" s="13"/>
      <c r="I10" s="13"/>
      <c r="J10" s="11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19.5" customHeight="1" x14ac:dyDescent="0.35">
      <c r="A11" s="10" t="s">
        <v>270</v>
      </c>
      <c r="B11" s="13"/>
      <c r="C11" s="13"/>
      <c r="D11" s="13"/>
      <c r="E11" s="13"/>
      <c r="F11" s="13"/>
      <c r="G11" s="13"/>
      <c r="H11" s="14" t="s">
        <v>265</v>
      </c>
      <c r="I11" s="13"/>
      <c r="J11" s="13"/>
      <c r="K11" s="11"/>
      <c r="L11" s="13"/>
      <c r="M11" s="13"/>
      <c r="N11" s="13"/>
      <c r="O11" s="13"/>
      <c r="P11" s="13"/>
      <c r="Q11" s="13"/>
      <c r="R11" s="13"/>
      <c r="S11" s="13"/>
      <c r="T11" s="13"/>
      <c r="U11" s="14" t="s">
        <v>265</v>
      </c>
    </row>
    <row r="12" spans="1:21" ht="19.5" customHeight="1" x14ac:dyDescent="0.35">
      <c r="A12" s="10" t="s">
        <v>271</v>
      </c>
      <c r="B12" s="13"/>
      <c r="C12" s="13"/>
      <c r="D12" s="13"/>
      <c r="E12" s="13"/>
      <c r="F12" s="13"/>
      <c r="G12" s="15" t="s">
        <v>272</v>
      </c>
      <c r="H12" s="15" t="s">
        <v>272</v>
      </c>
      <c r="I12" s="15" t="s">
        <v>272</v>
      </c>
      <c r="J12" s="13"/>
      <c r="K12" s="13"/>
      <c r="L12" s="11"/>
      <c r="M12" s="13"/>
      <c r="N12" s="13"/>
      <c r="O12" s="13"/>
      <c r="P12" s="13"/>
      <c r="Q12" s="13"/>
      <c r="R12" s="13"/>
      <c r="S12" s="13"/>
      <c r="T12" s="13"/>
      <c r="U12" s="15" t="s">
        <v>272</v>
      </c>
    </row>
    <row r="13" spans="1:21" ht="19.5" customHeight="1" x14ac:dyDescent="0.35">
      <c r="A13" s="10" t="s">
        <v>273</v>
      </c>
      <c r="B13" s="14" t="s">
        <v>265</v>
      </c>
      <c r="C13" s="13"/>
      <c r="D13" s="13"/>
      <c r="E13" s="13"/>
      <c r="F13" s="13"/>
      <c r="G13" s="13"/>
      <c r="H13" s="13"/>
      <c r="I13" s="13"/>
      <c r="J13" s="14" t="s">
        <v>265</v>
      </c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</row>
    <row r="14" spans="1:21" ht="19.5" customHeight="1" x14ac:dyDescent="0.35">
      <c r="A14" s="10" t="s">
        <v>274</v>
      </c>
      <c r="B14" s="13"/>
      <c r="C14" s="13"/>
      <c r="D14" s="13"/>
      <c r="E14" s="13"/>
      <c r="F14" s="13"/>
      <c r="G14" s="13"/>
      <c r="H14" s="13"/>
      <c r="I14" s="14" t="s">
        <v>265</v>
      </c>
      <c r="J14" s="13"/>
      <c r="K14" s="13"/>
      <c r="L14" s="13"/>
      <c r="M14" s="13"/>
      <c r="N14" s="11"/>
      <c r="O14" s="13"/>
      <c r="P14" s="13"/>
      <c r="Q14" s="13"/>
      <c r="R14" s="13"/>
      <c r="S14" s="13"/>
      <c r="T14" s="13"/>
      <c r="U14" s="13"/>
    </row>
    <row r="15" spans="1:21" ht="19.5" customHeight="1" x14ac:dyDescent="0.35">
      <c r="A15" s="10" t="s">
        <v>275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1"/>
      <c r="P15" s="13"/>
      <c r="Q15" s="13"/>
      <c r="R15" s="13"/>
      <c r="S15" s="13"/>
      <c r="T15" s="13"/>
      <c r="U15" s="13"/>
    </row>
    <row r="16" spans="1:21" ht="19.5" customHeight="1" x14ac:dyDescent="0.35">
      <c r="A16" s="10" t="s">
        <v>276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  <c r="S16" s="13"/>
      <c r="T16" s="13"/>
      <c r="U16" s="13"/>
    </row>
    <row r="17" spans="1:21" ht="19.5" customHeight="1" x14ac:dyDescent="0.35">
      <c r="A17" s="10" t="s">
        <v>277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</row>
    <row r="18" spans="1:21" ht="19.5" customHeight="1" x14ac:dyDescent="0.35">
      <c r="A18" s="10" t="s">
        <v>278</v>
      </c>
      <c r="B18" s="13"/>
      <c r="C18" s="13"/>
      <c r="D18" s="13"/>
      <c r="E18" s="13"/>
      <c r="F18" s="13"/>
      <c r="G18" s="15" t="s">
        <v>272</v>
      </c>
      <c r="H18" s="15" t="s">
        <v>272</v>
      </c>
      <c r="I18" s="15" t="s">
        <v>272</v>
      </c>
      <c r="J18" s="13"/>
      <c r="K18" s="13"/>
      <c r="L18" s="13"/>
      <c r="M18" s="13"/>
      <c r="N18" s="13"/>
      <c r="O18" s="13"/>
      <c r="P18" s="13"/>
      <c r="Q18" s="13"/>
      <c r="R18" s="11"/>
      <c r="S18" s="13"/>
      <c r="T18" s="13"/>
      <c r="U18" s="15" t="s">
        <v>272</v>
      </c>
    </row>
    <row r="19" spans="1:21" ht="19.5" customHeight="1" x14ac:dyDescent="0.35">
      <c r="A19" s="10" t="s">
        <v>279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1"/>
      <c r="T19" s="13"/>
      <c r="U19" s="13"/>
    </row>
    <row r="20" spans="1:21" ht="19.5" customHeight="1" x14ac:dyDescent="0.35">
      <c r="A20" s="10" t="s">
        <v>280</v>
      </c>
      <c r="B20" s="13"/>
      <c r="C20" s="13"/>
      <c r="D20" s="13"/>
      <c r="E20" s="13"/>
      <c r="F20" s="13"/>
      <c r="G20" s="15" t="s">
        <v>272</v>
      </c>
      <c r="H20" s="15" t="s">
        <v>272</v>
      </c>
      <c r="I20" s="15" t="s">
        <v>272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1"/>
      <c r="U20" s="15" t="s">
        <v>272</v>
      </c>
    </row>
    <row r="21" spans="1:21" ht="19.5" customHeight="1" x14ac:dyDescent="0.35">
      <c r="A21" s="10" t="s">
        <v>281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1"/>
    </row>
    <row r="24" spans="1:21" x14ac:dyDescent="0.35">
      <c r="A24" s="16" t="s">
        <v>282</v>
      </c>
    </row>
    <row r="25" spans="1:21" x14ac:dyDescent="0.35">
      <c r="A25" s="17" t="s">
        <v>272</v>
      </c>
      <c r="B25" s="18" t="s">
        <v>23</v>
      </c>
    </row>
    <row r="26" spans="1:21" x14ac:dyDescent="0.35">
      <c r="A26" s="19" t="s">
        <v>260</v>
      </c>
      <c r="B26" s="18" t="s">
        <v>84</v>
      </c>
    </row>
    <row r="27" spans="1:21" x14ac:dyDescent="0.35">
      <c r="A27" s="20" t="s">
        <v>265</v>
      </c>
      <c r="B27" s="18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Normal="100" workbookViewId="0"/>
  </sheetViews>
  <sheetFormatPr baseColWidth="10" defaultColWidth="8.6328125" defaultRowHeight="14.5" x14ac:dyDescent="0.35"/>
  <cols>
    <col min="1" max="5" width="15" customWidth="1"/>
  </cols>
  <sheetData>
    <row r="1" spans="1:5" ht="17.5" x14ac:dyDescent="0.35">
      <c r="A1" s="1" t="s">
        <v>283</v>
      </c>
      <c r="B1" s="1"/>
      <c r="C1" s="1"/>
      <c r="D1" s="1"/>
    </row>
    <row r="3" spans="1:5" ht="15.5" x14ac:dyDescent="0.35">
      <c r="A3" s="21" t="s">
        <v>284</v>
      </c>
    </row>
    <row r="4" spans="1:5" x14ac:dyDescent="0.35">
      <c r="A4" s="22" t="s">
        <v>8</v>
      </c>
      <c r="B4" s="22" t="s">
        <v>285</v>
      </c>
      <c r="C4" s="22" t="s">
        <v>286</v>
      </c>
    </row>
    <row r="5" spans="1:5" x14ac:dyDescent="0.35">
      <c r="A5" s="17" t="s">
        <v>23</v>
      </c>
      <c r="B5">
        <v>10</v>
      </c>
      <c r="C5" s="23">
        <f>B5/37</f>
        <v>0.27027027027027029</v>
      </c>
    </row>
    <row r="6" spans="1:5" x14ac:dyDescent="0.35">
      <c r="A6" s="19" t="s">
        <v>84</v>
      </c>
      <c r="B6">
        <v>11</v>
      </c>
      <c r="C6" s="23">
        <f>B6/37</f>
        <v>0.29729729729729731</v>
      </c>
    </row>
    <row r="7" spans="1:5" x14ac:dyDescent="0.35">
      <c r="A7" s="20" t="s">
        <v>141</v>
      </c>
      <c r="B7">
        <v>11</v>
      </c>
      <c r="C7" s="23">
        <f>B7/37</f>
        <v>0.29729729729729731</v>
      </c>
    </row>
    <row r="8" spans="1:5" x14ac:dyDescent="0.35">
      <c r="A8" s="24" t="s">
        <v>209</v>
      </c>
      <c r="B8">
        <v>5</v>
      </c>
      <c r="C8" s="23">
        <f>B8/37</f>
        <v>0.13513513513513514</v>
      </c>
    </row>
    <row r="9" spans="1:5" x14ac:dyDescent="0.35">
      <c r="A9" s="16" t="s">
        <v>287</v>
      </c>
      <c r="B9" s="18">
        <f>SUM(B5:B8)</f>
        <v>37</v>
      </c>
      <c r="C9" s="18" t="s">
        <v>288</v>
      </c>
    </row>
    <row r="11" spans="1:5" ht="15.5" x14ac:dyDescent="0.35">
      <c r="A11" s="21" t="s">
        <v>289</v>
      </c>
      <c r="D11" s="21" t="s">
        <v>290</v>
      </c>
    </row>
    <row r="12" spans="1:5" x14ac:dyDescent="0.35">
      <c r="A12" s="22" t="s">
        <v>291</v>
      </c>
      <c r="B12" s="22" t="s">
        <v>285</v>
      </c>
      <c r="D12" s="22" t="s">
        <v>6</v>
      </c>
      <c r="E12" s="22" t="s">
        <v>285</v>
      </c>
    </row>
    <row r="13" spans="1:5" x14ac:dyDescent="0.35">
      <c r="A13" t="s">
        <v>20</v>
      </c>
      <c r="B13">
        <v>18</v>
      </c>
      <c r="D13" t="s">
        <v>21</v>
      </c>
      <c r="E13">
        <v>4</v>
      </c>
    </row>
    <row r="14" spans="1:5" x14ac:dyDescent="0.35">
      <c r="A14" t="s">
        <v>81</v>
      </c>
      <c r="B14">
        <v>10</v>
      </c>
      <c r="D14" t="s">
        <v>46</v>
      </c>
      <c r="E14">
        <v>3</v>
      </c>
    </row>
    <row r="15" spans="1:5" x14ac:dyDescent="0.35">
      <c r="A15" t="s">
        <v>82</v>
      </c>
      <c r="B15">
        <v>6</v>
      </c>
      <c r="D15" t="s">
        <v>64</v>
      </c>
      <c r="E15">
        <v>8</v>
      </c>
    </row>
    <row r="16" spans="1:5" x14ac:dyDescent="0.35">
      <c r="A16" t="s">
        <v>206</v>
      </c>
      <c r="B16">
        <v>3</v>
      </c>
      <c r="D16" t="s">
        <v>82</v>
      </c>
      <c r="E16">
        <v>10</v>
      </c>
    </row>
    <row r="17" spans="1:5" x14ac:dyDescent="0.35">
      <c r="D17" t="s">
        <v>120</v>
      </c>
      <c r="E17">
        <v>8</v>
      </c>
    </row>
    <row r="18" spans="1:5" x14ac:dyDescent="0.35">
      <c r="D18" t="s">
        <v>292</v>
      </c>
      <c r="E18">
        <v>4</v>
      </c>
    </row>
    <row r="20" spans="1:5" ht="15.5" x14ac:dyDescent="0.35">
      <c r="A20" s="21" t="s">
        <v>293</v>
      </c>
    </row>
    <row r="21" spans="1:5" x14ac:dyDescent="0.35">
      <c r="A21" s="22" t="s">
        <v>9</v>
      </c>
      <c r="B21" s="22" t="s">
        <v>285</v>
      </c>
    </row>
    <row r="22" spans="1:5" x14ac:dyDescent="0.35">
      <c r="A22" t="s">
        <v>24</v>
      </c>
      <c r="B22">
        <v>12</v>
      </c>
    </row>
    <row r="23" spans="1:5" x14ac:dyDescent="0.35">
      <c r="A23" t="s">
        <v>40</v>
      </c>
      <c r="B23">
        <v>24</v>
      </c>
    </row>
    <row r="24" spans="1:5" x14ac:dyDescent="0.35">
      <c r="A24" t="s">
        <v>294</v>
      </c>
      <c r="B24"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workbookViewId="0"/>
  </sheetViews>
  <sheetFormatPr baseColWidth="10" defaultColWidth="8.6328125" defaultRowHeight="14.5" x14ac:dyDescent="0.35"/>
  <cols>
    <col min="1" max="1" width="15" customWidth="1"/>
    <col min="2" max="2" width="35" customWidth="1"/>
    <col min="3" max="5" width="15" customWidth="1"/>
  </cols>
  <sheetData>
    <row r="1" spans="1:5" ht="17.5" x14ac:dyDescent="0.35">
      <c r="A1" s="1" t="s">
        <v>295</v>
      </c>
      <c r="B1" s="1"/>
      <c r="C1" s="1"/>
      <c r="D1" s="1"/>
      <c r="E1" s="1"/>
    </row>
    <row r="3" spans="1:5" x14ac:dyDescent="0.35">
      <c r="A3" s="25" t="s">
        <v>296</v>
      </c>
      <c r="B3" s="25" t="s">
        <v>297</v>
      </c>
      <c r="C3" s="25" t="s">
        <v>298</v>
      </c>
      <c r="D3" s="25" t="s">
        <v>299</v>
      </c>
      <c r="E3" s="25" t="s">
        <v>300</v>
      </c>
    </row>
    <row r="4" spans="1:5" x14ac:dyDescent="0.35">
      <c r="A4" s="26" t="s">
        <v>17</v>
      </c>
      <c r="B4" s="26" t="s">
        <v>16</v>
      </c>
      <c r="C4" s="26">
        <v>4</v>
      </c>
      <c r="D4" s="27">
        <v>4</v>
      </c>
      <c r="E4" s="26">
        <v>0</v>
      </c>
    </row>
    <row r="5" spans="1:5" x14ac:dyDescent="0.35">
      <c r="A5" s="26" t="s">
        <v>45</v>
      </c>
      <c r="B5" s="26" t="s">
        <v>44</v>
      </c>
      <c r="C5" s="26">
        <v>4</v>
      </c>
      <c r="D5" s="27">
        <v>4</v>
      </c>
      <c r="E5" s="26">
        <v>0</v>
      </c>
    </row>
    <row r="6" spans="1:5" x14ac:dyDescent="0.35">
      <c r="A6" s="26" t="s">
        <v>63</v>
      </c>
      <c r="B6" s="26" t="s">
        <v>62</v>
      </c>
      <c r="C6" s="26">
        <v>4</v>
      </c>
      <c r="D6" s="27">
        <v>4</v>
      </c>
      <c r="E6" s="26">
        <v>0</v>
      </c>
    </row>
    <row r="7" spans="1:5" x14ac:dyDescent="0.35">
      <c r="A7" s="26" t="s">
        <v>80</v>
      </c>
      <c r="B7" s="26" t="s">
        <v>79</v>
      </c>
      <c r="C7" s="26">
        <v>4</v>
      </c>
      <c r="D7" s="26">
        <v>0</v>
      </c>
      <c r="E7" s="28">
        <v>4</v>
      </c>
    </row>
    <row r="8" spans="1:5" x14ac:dyDescent="0.35">
      <c r="A8" s="26" t="s">
        <v>19</v>
      </c>
      <c r="B8" s="26" t="s">
        <v>18</v>
      </c>
      <c r="C8" s="26">
        <v>4</v>
      </c>
      <c r="D8" s="26">
        <v>0</v>
      </c>
      <c r="E8" s="28">
        <v>4</v>
      </c>
    </row>
    <row r="9" spans="1:5" x14ac:dyDescent="0.35">
      <c r="A9" s="26" t="s">
        <v>105</v>
      </c>
      <c r="B9" s="26" t="s">
        <v>104</v>
      </c>
      <c r="C9" s="26">
        <v>3</v>
      </c>
      <c r="D9" s="26">
        <v>0</v>
      </c>
      <c r="E9" s="28">
        <v>3</v>
      </c>
    </row>
    <row r="10" spans="1:5" x14ac:dyDescent="0.35">
      <c r="A10" s="26" t="s">
        <v>32</v>
      </c>
      <c r="B10" s="26" t="s">
        <v>31</v>
      </c>
      <c r="C10" s="26">
        <v>2</v>
      </c>
      <c r="D10" s="26">
        <v>0</v>
      </c>
      <c r="E10" s="26">
        <v>0</v>
      </c>
    </row>
    <row r="11" spans="1:5" x14ac:dyDescent="0.35">
      <c r="A11" s="26" t="s">
        <v>147</v>
      </c>
      <c r="B11" s="26" t="s">
        <v>146</v>
      </c>
      <c r="C11" s="26">
        <v>2</v>
      </c>
      <c r="D11" s="26">
        <v>0</v>
      </c>
      <c r="E11" s="26">
        <v>0</v>
      </c>
    </row>
    <row r="12" spans="1:5" x14ac:dyDescent="0.35">
      <c r="A12" s="26" t="s">
        <v>132</v>
      </c>
      <c r="B12" s="26" t="s">
        <v>131</v>
      </c>
      <c r="C12" s="26">
        <v>2</v>
      </c>
      <c r="D12" s="26">
        <v>0</v>
      </c>
      <c r="E12" s="26">
        <v>0</v>
      </c>
    </row>
    <row r="13" spans="1:5" x14ac:dyDescent="0.35">
      <c r="A13" s="26" t="s">
        <v>187</v>
      </c>
      <c r="B13" s="26" t="s">
        <v>186</v>
      </c>
      <c r="C13" s="26">
        <v>2</v>
      </c>
      <c r="D13" s="26">
        <v>0</v>
      </c>
      <c r="E13" s="26"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Registre_Adherences</vt:lpstr>
      <vt:lpstr>Matrice_Croisee</vt:lpstr>
      <vt:lpstr>Statistiques</vt:lpstr>
      <vt:lpstr>Chantiers_Sources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Mourad;Larbi</dc:creator>
  <cp:keywords>Carto;Adhérence;TSI</cp:keywords>
  <dc:description/>
  <cp:lastModifiedBy>Larbi HMIMOU</cp:lastModifiedBy>
  <cp:revision>0</cp:revision>
  <dcterms:created xsi:type="dcterms:W3CDTF">2026-01-02T07:37:31Z</dcterms:created>
  <dcterms:modified xsi:type="dcterms:W3CDTF">2026-02-13T14:22:03Z</dcterms:modified>
  <dc:language>en-US</dc:language>
</cp:coreProperties>
</file>